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f01953baf6c2ab2/Documentos/R/R_projects/MIP_PI/NOTA_6/dados/"/>
    </mc:Choice>
  </mc:AlternateContent>
  <xr:revisionPtr revIDLastSave="221" documentId="8_{62300404-CD8C-44A7-9388-48F157792894}" xr6:coauthVersionLast="47" xr6:coauthVersionMax="47" xr10:uidLastSave="{12F70E7A-4EBD-4FF2-998F-1CF3E6C52A25}"/>
  <bookViews>
    <workbookView xWindow="-120" yWindow="-120" windowWidth="20730" windowHeight="11040" firstSheet="8" activeTab="8" xr2:uid="{00000000-000D-0000-FFFF-FFFF00000000}"/>
  </bookViews>
  <sheets>
    <sheet name="00_Leia-me" sheetId="1" r:id="rId1"/>
    <sheet name="01_Recursos" sheetId="2" r:id="rId2"/>
    <sheet name="02_Usos" sheetId="3" r:id="rId3"/>
    <sheet name="03_VA" sheetId="4" r:id="rId4"/>
    <sheet name="04_Conferencias" sheetId="5" r:id="rId5"/>
    <sheet name="05_ALFA" sheetId="6" r:id="rId6"/>
    <sheet name="06_M_comercio" sheetId="7" r:id="rId7"/>
    <sheet name="07_M_transporte" sheetId="8" r:id="rId8"/>
    <sheet name="08_M_impostos" sheetId="9" r:id="rId9"/>
    <sheet name="09_M_importacoes" sheetId="10" r:id="rId10"/>
    <sheet name="10_Usos_basicos" sheetId="11" r:id="rId11"/>
    <sheet name="11_D" sheetId="12" r:id="rId12"/>
    <sheet name="12_X" sheetId="13" r:id="rId13"/>
    <sheet name="13_Bn" sheetId="14" r:id="rId14"/>
    <sheet name="14_A" sheetId="15" r:id="rId15"/>
    <sheet name="15_Z" sheetId="16" r:id="rId16"/>
    <sheet name="16_Y" sheetId="17" r:id="rId17"/>
    <sheet name="17_Leontief" sheetId="18" r:id="rId18"/>
    <sheet name="18_Pagamentos" sheetId="19" r:id="rId19"/>
    <sheet name="19_Diagnostico" sheetId="20" r:id="rId20"/>
    <sheet name="Z" sheetId="21" r:id="rId21"/>
    <sheet name="y" sheetId="22" r:id="rId22"/>
    <sheet name="x" sheetId="23" r:id="rId23"/>
    <sheet name="v" sheetId="24" r:id="rId24"/>
    <sheet name="e" sheetId="25" r:id="rId25"/>
    <sheet name="c" sheetId="26" r:id="rId26"/>
    <sheet name="sp" sheetId="27" r:id="rId27"/>
    <sheet name="set" sheetId="28" r:id="rId28"/>
    <sheet name="20_Tabela1" sheetId="29" r:id="rId29"/>
    <sheet name="21_Tabela2" sheetId="30" r:id="rId30"/>
    <sheet name="22_Simulacao" sheetId="31" r:id="rId31"/>
  </sheets>
  <definedNames>
    <definedName name="_xlnm.Print_Area" localSheetId="28">'20_Tabela1'!$A$1:$K$24</definedName>
    <definedName name="_xlnm.Print_Area" localSheetId="29">'21_Tabela2'!$A$1:$N$25</definedName>
    <definedName name="_xlnm.Print_Area" localSheetId="30">'22_Simulacao'!$A$1:$I$42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31" l="1"/>
  <c r="A33" i="31"/>
  <c r="C33" i="31" s="1"/>
  <c r="B32" i="31"/>
  <c r="A32" i="31"/>
  <c r="C32" i="31" s="1"/>
  <c r="B31" i="31"/>
  <c r="A31" i="31"/>
  <c r="C31" i="31" s="1"/>
  <c r="B30" i="31"/>
  <c r="A30" i="31"/>
  <c r="C30" i="31" s="1"/>
  <c r="B29" i="31"/>
  <c r="A29" i="31"/>
  <c r="C29" i="31" s="1"/>
  <c r="B28" i="31"/>
  <c r="A28" i="31"/>
  <c r="C28" i="31" s="1"/>
  <c r="B27" i="31"/>
  <c r="A27" i="31"/>
  <c r="C27" i="31" s="1"/>
  <c r="B26" i="31"/>
  <c r="A26" i="31"/>
  <c r="C26" i="31" s="1"/>
  <c r="B25" i="31"/>
  <c r="A25" i="31"/>
  <c r="C25" i="31" s="1"/>
  <c r="B24" i="31"/>
  <c r="A24" i="31"/>
  <c r="C24" i="31" s="1"/>
  <c r="B23" i="31"/>
  <c r="A23" i="31"/>
  <c r="C23" i="31" s="1"/>
  <c r="B22" i="31"/>
  <c r="A22" i="31"/>
  <c r="B10" i="31"/>
  <c r="C8" i="31"/>
  <c r="C6" i="31"/>
  <c r="A20" i="30"/>
  <c r="A19" i="30"/>
  <c r="A18" i="30"/>
  <c r="A12" i="25"/>
  <c r="A11" i="25"/>
  <c r="A10" i="25"/>
  <c r="A9" i="25"/>
  <c r="A8" i="25"/>
  <c r="A7" i="25"/>
  <c r="A6" i="25"/>
  <c r="A5" i="25"/>
  <c r="A4" i="25"/>
  <c r="A3" i="25"/>
  <c r="A2" i="25"/>
  <c r="A1" i="25"/>
  <c r="A12" i="24"/>
  <c r="A11" i="24"/>
  <c r="A10" i="24"/>
  <c r="A9" i="24"/>
  <c r="A8" i="24"/>
  <c r="A7" i="24"/>
  <c r="A6" i="24"/>
  <c r="A5" i="24"/>
  <c r="A4" i="24"/>
  <c r="A3" i="24"/>
  <c r="A2" i="24"/>
  <c r="A1" i="24"/>
  <c r="D13" i="13"/>
  <c r="D12" i="13"/>
  <c r="D11" i="13"/>
  <c r="D10" i="13"/>
  <c r="D9" i="13"/>
  <c r="D8" i="13"/>
  <c r="D7" i="13"/>
  <c r="D6" i="13"/>
  <c r="D5" i="13"/>
  <c r="D4" i="13"/>
  <c r="D3" i="13"/>
  <c r="D2" i="13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V74" i="10"/>
  <c r="V73" i="10"/>
  <c r="V72" i="10"/>
  <c r="V71" i="10"/>
  <c r="V70" i="10"/>
  <c r="V69" i="10"/>
  <c r="V68" i="10"/>
  <c r="V67" i="10"/>
  <c r="V66" i="10"/>
  <c r="V65" i="10"/>
  <c r="V64" i="10"/>
  <c r="V63" i="10"/>
  <c r="T14" i="10"/>
  <c r="S14" i="10"/>
  <c r="R14" i="10"/>
  <c r="Q14" i="10"/>
  <c r="P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T13" i="10"/>
  <c r="S13" i="10"/>
  <c r="R13" i="10"/>
  <c r="Q13" i="10"/>
  <c r="P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T12" i="10"/>
  <c r="S12" i="10"/>
  <c r="R12" i="10"/>
  <c r="Q12" i="10"/>
  <c r="P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T11" i="10"/>
  <c r="S11" i="10"/>
  <c r="R11" i="10"/>
  <c r="Q11" i="10"/>
  <c r="P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T10" i="10"/>
  <c r="S10" i="10"/>
  <c r="R10" i="10"/>
  <c r="Q10" i="10"/>
  <c r="P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T9" i="10"/>
  <c r="S9" i="10"/>
  <c r="R9" i="10"/>
  <c r="Q9" i="10"/>
  <c r="P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T8" i="10"/>
  <c r="S8" i="10"/>
  <c r="R8" i="10"/>
  <c r="Q8" i="10"/>
  <c r="P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T7" i="10"/>
  <c r="S7" i="10"/>
  <c r="R7" i="10"/>
  <c r="Q7" i="10"/>
  <c r="P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T6" i="10"/>
  <c r="S6" i="10"/>
  <c r="R6" i="10"/>
  <c r="Q6" i="10"/>
  <c r="P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T5" i="10"/>
  <c r="S5" i="10"/>
  <c r="R5" i="10"/>
  <c r="Q5" i="10"/>
  <c r="P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T4" i="10"/>
  <c r="S4" i="10"/>
  <c r="R4" i="10"/>
  <c r="Q4" i="10"/>
  <c r="P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T3" i="10"/>
  <c r="S3" i="10"/>
  <c r="R3" i="10"/>
  <c r="Q3" i="10"/>
  <c r="P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V44" i="9"/>
  <c r="V43" i="9"/>
  <c r="V42" i="9"/>
  <c r="V41" i="9"/>
  <c r="V40" i="9"/>
  <c r="V39" i="9"/>
  <c r="V38" i="9"/>
  <c r="V37" i="9"/>
  <c r="V36" i="9"/>
  <c r="V35" i="9"/>
  <c r="V34" i="9"/>
  <c r="V33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B28" i="5"/>
  <c r="B27" i="5"/>
  <c r="B26" i="5"/>
  <c r="B25" i="5"/>
  <c r="B24" i="5"/>
  <c r="B23" i="5"/>
  <c r="B22" i="5"/>
  <c r="B21" i="5"/>
  <c r="B20" i="5"/>
  <c r="B19" i="5"/>
  <c r="B18" i="5"/>
  <c r="B17" i="5"/>
  <c r="B12" i="5"/>
  <c r="B11" i="5"/>
  <c r="B10" i="5" a="1"/>
  <c r="B10" i="5" s="1"/>
  <c r="B9" i="5" a="1"/>
  <c r="B9" i="5" s="1"/>
  <c r="B7" i="5" a="1"/>
  <c r="B7" i="5" s="1"/>
  <c r="B6" i="5" a="1"/>
  <c r="B6" i="5" s="1"/>
  <c r="B5" i="5" a="1"/>
  <c r="B5" i="5" s="1"/>
  <c r="B4" i="5" a="1"/>
  <c r="B4" i="5" s="1"/>
  <c r="B8" i="4"/>
  <c r="B5" i="4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Y13" i="3"/>
  <c r="Y12" i="3"/>
  <c r="Y11" i="3"/>
  <c r="Y10" i="3"/>
  <c r="Y9" i="3"/>
  <c r="Y8" i="3"/>
  <c r="Y7" i="3"/>
  <c r="Y6" i="3"/>
  <c r="Y5" i="3"/>
  <c r="Y4" i="3"/>
  <c r="Y3" i="3"/>
  <c r="Y2" i="3"/>
  <c r="V15" i="2"/>
  <c r="U15" i="2"/>
  <c r="B6" i="4" s="1"/>
  <c r="T15" i="2"/>
  <c r="S15" i="2"/>
  <c r="R15" i="2"/>
  <c r="Q15" i="2"/>
  <c r="P15" i="2"/>
  <c r="O15" i="2"/>
  <c r="N15" i="2"/>
  <c r="M15" i="2"/>
  <c r="B13" i="13" s="1"/>
  <c r="L15" i="2"/>
  <c r="B12" i="13" s="1"/>
  <c r="K15" i="2"/>
  <c r="B11" i="13" s="1"/>
  <c r="J15" i="2"/>
  <c r="B10" i="13" s="1"/>
  <c r="I15" i="2"/>
  <c r="B9" i="13" s="1"/>
  <c r="H15" i="2"/>
  <c r="B8" i="13" s="1"/>
  <c r="G15" i="2"/>
  <c r="B7" i="13" s="1"/>
  <c r="F15" i="2"/>
  <c r="B6" i="13" s="1"/>
  <c r="E15" i="2"/>
  <c r="B5" i="13" s="1"/>
  <c r="D15" i="2"/>
  <c r="B4" i="13" s="1"/>
  <c r="C15" i="2"/>
  <c r="B3" i="13" s="1"/>
  <c r="B15" i="2"/>
  <c r="W13" i="2"/>
  <c r="W12" i="2"/>
  <c r="W11" i="2"/>
  <c r="W10" i="2"/>
  <c r="W9" i="2"/>
  <c r="V25" i="11" s="1"/>
  <c r="W8" i="2"/>
  <c r="W7" i="2"/>
  <c r="W6" i="2"/>
  <c r="W5" i="2"/>
  <c r="W4" i="2"/>
  <c r="W3" i="2"/>
  <c r="W2" i="2"/>
  <c r="M20" i="29"/>
  <c r="M19" i="29"/>
  <c r="M18" i="29"/>
  <c r="M17" i="29"/>
  <c r="A16" i="29"/>
  <c r="A16" i="30" s="1"/>
  <c r="A15" i="29"/>
  <c r="A14" i="29"/>
  <c r="A14" i="30" s="1"/>
  <c r="A13" i="29"/>
  <c r="A13" i="30" s="1"/>
  <c r="A12" i="29"/>
  <c r="A12" i="30" s="1"/>
  <c r="A11" i="29"/>
  <c r="A10" i="29"/>
  <c r="A10" i="30" s="1"/>
  <c r="A9" i="29"/>
  <c r="A9" i="30" s="1"/>
  <c r="A8" i="29"/>
  <c r="A8" i="30" s="1"/>
  <c r="A7" i="29"/>
  <c r="A7" i="30" s="1"/>
  <c r="A6" i="29"/>
  <c r="A6" i="30" s="1"/>
  <c r="A5" i="29"/>
  <c r="A5" i="30" s="1"/>
  <c r="C22" i="31" l="1"/>
  <c r="C34" i="31" s="1"/>
  <c r="B7" i="4"/>
  <c r="B11" i="20" s="1"/>
  <c r="U3" i="6"/>
  <c r="P18" i="6" s="1"/>
  <c r="P3" i="8" s="1"/>
  <c r="P20" i="8" s="1"/>
  <c r="U11" i="6"/>
  <c r="P26" i="6" s="1"/>
  <c r="P11" i="7" s="1"/>
  <c r="P28" i="7" s="1"/>
  <c r="U10" i="10"/>
  <c r="L25" i="10" s="1"/>
  <c r="L55" i="10" s="1"/>
  <c r="U6" i="10"/>
  <c r="J21" i="10" s="1"/>
  <c r="U14" i="10"/>
  <c r="S29" i="10" s="1"/>
  <c r="U10" i="9"/>
  <c r="J25" i="9" s="1"/>
  <c r="J40" i="9" s="1"/>
  <c r="M10" i="29"/>
  <c r="M16" i="29"/>
  <c r="U6" i="9"/>
  <c r="I21" i="9" s="1"/>
  <c r="I36" i="9" s="1"/>
  <c r="U14" i="9"/>
  <c r="H29" i="9" s="1"/>
  <c r="H44" i="9" s="1"/>
  <c r="U9" i="10"/>
  <c r="J24" i="10" s="1"/>
  <c r="U5" i="9"/>
  <c r="E20" i="9" s="1"/>
  <c r="E35" i="9" s="1"/>
  <c r="U5" i="6"/>
  <c r="P20" i="6" s="1"/>
  <c r="P5" i="7" s="1"/>
  <c r="P22" i="7" s="1"/>
  <c r="U4" i="10"/>
  <c r="M19" i="10" s="1"/>
  <c r="U12" i="10"/>
  <c r="M27" i="10" s="1"/>
  <c r="U13" i="9"/>
  <c r="G28" i="9" s="1"/>
  <c r="G43" i="9" s="1"/>
  <c r="M14" i="29"/>
  <c r="U12" i="6"/>
  <c r="Q27" i="6" s="1"/>
  <c r="M5" i="29"/>
  <c r="U8" i="6"/>
  <c r="O23" i="6" s="1"/>
  <c r="M9" i="29"/>
  <c r="C9" i="13"/>
  <c r="I14" i="12"/>
  <c r="I13" i="12"/>
  <c r="I11" i="12"/>
  <c r="I9" i="12"/>
  <c r="I7" i="12"/>
  <c r="I5" i="12"/>
  <c r="I3" i="12"/>
  <c r="I12" i="12"/>
  <c r="I10" i="12"/>
  <c r="I8" i="12"/>
  <c r="I6" i="12"/>
  <c r="I4" i="12"/>
  <c r="A4" i="23"/>
  <c r="A12" i="23"/>
  <c r="H14" i="12"/>
  <c r="H12" i="12"/>
  <c r="H10" i="12"/>
  <c r="H8" i="12"/>
  <c r="H6" i="12"/>
  <c r="H4" i="12"/>
  <c r="H13" i="12"/>
  <c r="H11" i="12"/>
  <c r="H9" i="12"/>
  <c r="H7" i="12"/>
  <c r="H5" i="12"/>
  <c r="H3" i="12"/>
  <c r="C8" i="13"/>
  <c r="V24" i="11"/>
  <c r="M7" i="29"/>
  <c r="M13" i="29"/>
  <c r="C2" i="13"/>
  <c r="B13" i="12"/>
  <c r="B11" i="12"/>
  <c r="B9" i="12"/>
  <c r="B7" i="12"/>
  <c r="B5" i="12"/>
  <c r="B3" i="12"/>
  <c r="B14" i="12"/>
  <c r="B12" i="12"/>
  <c r="B10" i="12"/>
  <c r="B8" i="12"/>
  <c r="B6" i="12"/>
  <c r="B4" i="12"/>
  <c r="V18" i="11"/>
  <c r="B3" i="5" a="1"/>
  <c r="B3" i="5" s="1"/>
  <c r="C10" i="13"/>
  <c r="J13" i="12"/>
  <c r="J11" i="12"/>
  <c r="J9" i="12"/>
  <c r="J7" i="12"/>
  <c r="J5" i="12"/>
  <c r="J3" i="12"/>
  <c r="J12" i="12"/>
  <c r="J10" i="12"/>
  <c r="J8" i="12"/>
  <c r="J6" i="12"/>
  <c r="J14" i="12"/>
  <c r="J4" i="12"/>
  <c r="V26" i="11"/>
  <c r="A5" i="23"/>
  <c r="U6" i="6"/>
  <c r="U14" i="6"/>
  <c r="A3" i="23"/>
  <c r="A7" i="23"/>
  <c r="U4" i="6"/>
  <c r="A11" i="23"/>
  <c r="D13" i="12"/>
  <c r="D11" i="12"/>
  <c r="D9" i="12"/>
  <c r="D7" i="12"/>
  <c r="D5" i="12"/>
  <c r="D3" i="12"/>
  <c r="C4" i="13"/>
  <c r="D14" i="12"/>
  <c r="D12" i="12"/>
  <c r="D10" i="12"/>
  <c r="D8" i="12"/>
  <c r="D6" i="12"/>
  <c r="D4" i="12"/>
  <c r="V20" i="11"/>
  <c r="L13" i="12"/>
  <c r="L11" i="12"/>
  <c r="L9" i="12"/>
  <c r="L7" i="12"/>
  <c r="L5" i="12"/>
  <c r="L3" i="12"/>
  <c r="L12" i="12"/>
  <c r="L10" i="12"/>
  <c r="L8" i="12"/>
  <c r="L6" i="12"/>
  <c r="L4" i="12"/>
  <c r="C12" i="13"/>
  <c r="L14" i="12"/>
  <c r="V28" i="11"/>
  <c r="M8" i="29"/>
  <c r="U7" i="6"/>
  <c r="M12" i="29"/>
  <c r="B8" i="5" a="1"/>
  <c r="B8" i="5" s="1"/>
  <c r="U9" i="6"/>
  <c r="M6" i="29"/>
  <c r="A11" i="30"/>
  <c r="M11" i="29"/>
  <c r="A15" i="30"/>
  <c r="M15" i="29"/>
  <c r="U10" i="6"/>
  <c r="U13" i="6"/>
  <c r="U7" i="10"/>
  <c r="C13" i="12"/>
  <c r="C11" i="12"/>
  <c r="C9" i="12"/>
  <c r="C7" i="12"/>
  <c r="C5" i="12"/>
  <c r="C3" i="12"/>
  <c r="V19" i="11"/>
  <c r="C3" i="13"/>
  <c r="C12" i="12"/>
  <c r="C10" i="12"/>
  <c r="C8" i="12"/>
  <c r="C14" i="12"/>
  <c r="C6" i="12"/>
  <c r="C4" i="12"/>
  <c r="C11" i="13"/>
  <c r="K13" i="12"/>
  <c r="K11" i="12"/>
  <c r="K9" i="12"/>
  <c r="K7" i="12"/>
  <c r="K5" i="12"/>
  <c r="K3" i="12"/>
  <c r="V27" i="11"/>
  <c r="K14" i="12"/>
  <c r="K12" i="12"/>
  <c r="K8" i="12"/>
  <c r="K6" i="12"/>
  <c r="K4" i="12"/>
  <c r="K10" i="12"/>
  <c r="A6" i="23"/>
  <c r="U3" i="9"/>
  <c r="U8" i="9"/>
  <c r="U11" i="9"/>
  <c r="U5" i="10"/>
  <c r="C5" i="13"/>
  <c r="E14" i="12"/>
  <c r="E12" i="12"/>
  <c r="E10" i="12"/>
  <c r="E8" i="12"/>
  <c r="E6" i="12"/>
  <c r="E4" i="12"/>
  <c r="E7" i="12"/>
  <c r="E5" i="12"/>
  <c r="E3" i="12"/>
  <c r="V21" i="11"/>
  <c r="E13" i="12"/>
  <c r="E11" i="12"/>
  <c r="E9" i="12"/>
  <c r="C13" i="13"/>
  <c r="M12" i="12"/>
  <c r="M10" i="12"/>
  <c r="M8" i="12"/>
  <c r="M6" i="12"/>
  <c r="M4" i="12"/>
  <c r="M14" i="12"/>
  <c r="M11" i="12"/>
  <c r="V29" i="11"/>
  <c r="M9" i="12"/>
  <c r="M13" i="12"/>
  <c r="M7" i="12"/>
  <c r="M3" i="12"/>
  <c r="M5" i="12"/>
  <c r="A8" i="23"/>
  <c r="U9" i="9"/>
  <c r="U13" i="10"/>
  <c r="F14" i="12"/>
  <c r="F12" i="12"/>
  <c r="F10" i="12"/>
  <c r="F8" i="12"/>
  <c r="F6" i="12"/>
  <c r="F4" i="12"/>
  <c r="C6" i="13"/>
  <c r="F13" i="12"/>
  <c r="F5" i="12"/>
  <c r="V22" i="11"/>
  <c r="F3" i="12"/>
  <c r="F11" i="12"/>
  <c r="F9" i="12"/>
  <c r="F7" i="12"/>
  <c r="B7" i="20" a="1"/>
  <c r="B7" i="20" s="1"/>
  <c r="B2" i="13"/>
  <c r="A9" i="23"/>
  <c r="B13" i="5" a="1"/>
  <c r="B13" i="5" s="1"/>
  <c r="U3" i="10"/>
  <c r="U8" i="10"/>
  <c r="G14" i="12"/>
  <c r="G12" i="12"/>
  <c r="G10" i="12"/>
  <c r="G8" i="12"/>
  <c r="G6" i="12"/>
  <c r="G4" i="12"/>
  <c r="V23" i="11"/>
  <c r="C7" i="13"/>
  <c r="G3" i="12"/>
  <c r="G11" i="12"/>
  <c r="G9" i="12"/>
  <c r="G5" i="12"/>
  <c r="G7" i="12"/>
  <c r="G13" i="12"/>
  <c r="A2" i="23"/>
  <c r="A10" i="23"/>
  <c r="U4" i="9"/>
  <c r="U7" i="9"/>
  <c r="U12" i="9"/>
  <c r="U11" i="10"/>
  <c r="G29" i="9" l="1"/>
  <c r="G44" i="9" s="1"/>
  <c r="Q29" i="9"/>
  <c r="Q44" i="9" s="1"/>
  <c r="E18" i="6"/>
  <c r="E3" i="8" s="1"/>
  <c r="E20" i="8" s="1"/>
  <c r="L26" i="6"/>
  <c r="L11" i="7" s="1"/>
  <c r="L28" i="7" s="1"/>
  <c r="J26" i="6"/>
  <c r="J11" i="8" s="1"/>
  <c r="J28" i="8" s="1"/>
  <c r="C20" i="9"/>
  <c r="C35" i="9" s="1"/>
  <c r="T20" i="9"/>
  <c r="T35" i="9" s="1"/>
  <c r="K29" i="9"/>
  <c r="K44" i="9" s="1"/>
  <c r="N29" i="9"/>
  <c r="N44" i="9" s="1"/>
  <c r="G18" i="6"/>
  <c r="G3" i="7" s="1"/>
  <c r="G20" i="7" s="1"/>
  <c r="I23" i="6"/>
  <c r="I8" i="7" s="1"/>
  <c r="D23" i="6"/>
  <c r="D8" i="8" s="1"/>
  <c r="D25" i="8" s="1"/>
  <c r="Q23" i="6"/>
  <c r="Q8" i="7" s="1"/>
  <c r="B9" i="4"/>
  <c r="Q21" i="10"/>
  <c r="Q51" i="10" s="1"/>
  <c r="F28" i="9"/>
  <c r="F43" i="9" s="1"/>
  <c r="S21" i="10"/>
  <c r="S51" i="10" s="1"/>
  <c r="B29" i="10"/>
  <c r="B59" i="10" s="1"/>
  <c r="P5" i="8"/>
  <c r="P22" i="8" s="1"/>
  <c r="I20" i="6"/>
  <c r="I5" i="8" s="1"/>
  <c r="I22" i="8" s="1"/>
  <c r="B20" i="6"/>
  <c r="B5" i="8" s="1"/>
  <c r="B22" i="8" s="1"/>
  <c r="E23" i="6"/>
  <c r="E8" i="8" s="1"/>
  <c r="E25" i="8" s="1"/>
  <c r="R27" i="6"/>
  <c r="R12" i="7" s="1"/>
  <c r="R29" i="7" s="1"/>
  <c r="H23" i="6"/>
  <c r="H8" i="8" s="1"/>
  <c r="H25" i="8" s="1"/>
  <c r="Q20" i="6"/>
  <c r="Q5" i="8" s="1"/>
  <c r="Q22" i="8" s="1"/>
  <c r="P23" i="6"/>
  <c r="P8" i="8" s="1"/>
  <c r="P25" i="8" s="1"/>
  <c r="M20" i="9"/>
  <c r="M35" i="9" s="1"/>
  <c r="R29" i="10"/>
  <c r="R59" i="10" s="1"/>
  <c r="D20" i="6"/>
  <c r="D5" i="7" s="1"/>
  <c r="D22" i="7" s="1"/>
  <c r="K23" i="6"/>
  <c r="K8" i="8" s="1"/>
  <c r="K25" i="8" s="1"/>
  <c r="L20" i="6"/>
  <c r="L5" i="7" s="1"/>
  <c r="L22" i="7" s="1"/>
  <c r="H21" i="10"/>
  <c r="H36" i="10" s="1"/>
  <c r="O18" i="6"/>
  <c r="O3" i="8" s="1"/>
  <c r="O20" i="8" s="1"/>
  <c r="T20" i="6"/>
  <c r="T5" i="8" s="1"/>
  <c r="T22" i="8" s="1"/>
  <c r="P3" i="7"/>
  <c r="P20" i="7" s="1"/>
  <c r="I21" i="10"/>
  <c r="I36" i="10" s="1"/>
  <c r="M23" i="6"/>
  <c r="M8" i="8" s="1"/>
  <c r="M25" i="8" s="1"/>
  <c r="S20" i="9"/>
  <c r="S35" i="9" s="1"/>
  <c r="C29" i="10"/>
  <c r="C59" i="10" s="1"/>
  <c r="O29" i="10"/>
  <c r="O44" i="10" s="1"/>
  <c r="T23" i="6"/>
  <c r="T8" i="8" s="1"/>
  <c r="T25" i="8" s="1"/>
  <c r="J29" i="10"/>
  <c r="J59" i="10" s="1"/>
  <c r="J29" i="9"/>
  <c r="J44" i="9" s="1"/>
  <c r="E29" i="9"/>
  <c r="E44" i="9" s="1"/>
  <c r="R29" i="9"/>
  <c r="R44" i="9" s="1"/>
  <c r="Q26" i="6"/>
  <c r="Q11" i="8" s="1"/>
  <c r="Q28" i="8" s="1"/>
  <c r="M29" i="9"/>
  <c r="M44" i="9" s="1"/>
  <c r="O26" i="6"/>
  <c r="O11" i="7" s="1"/>
  <c r="O28" i="7" s="1"/>
  <c r="B26" i="6"/>
  <c r="B11" i="8" s="1"/>
  <c r="B28" i="8" s="1"/>
  <c r="O29" i="9"/>
  <c r="O44" i="9" s="1"/>
  <c r="H26" i="6"/>
  <c r="H11" i="8" s="1"/>
  <c r="H28" i="8" s="1"/>
  <c r="T26" i="6"/>
  <c r="T11" i="7" s="1"/>
  <c r="T28" i="7" s="1"/>
  <c r="I29" i="9"/>
  <c r="I44" i="9" s="1"/>
  <c r="E26" i="6"/>
  <c r="E11" i="7" s="1"/>
  <c r="E28" i="7" s="1"/>
  <c r="C21" i="9"/>
  <c r="C36" i="9" s="1"/>
  <c r="P29" i="9"/>
  <c r="P44" i="9" s="1"/>
  <c r="P21" i="9"/>
  <c r="P36" i="9" s="1"/>
  <c r="C26" i="6"/>
  <c r="C11" i="7" s="1"/>
  <c r="C28" i="7" s="1"/>
  <c r="F26" i="6"/>
  <c r="F11" i="8" s="1"/>
  <c r="F28" i="8" s="1"/>
  <c r="Q21" i="9"/>
  <c r="Q36" i="9" s="1"/>
  <c r="K26" i="6"/>
  <c r="K11" i="8" s="1"/>
  <c r="K28" i="8" s="1"/>
  <c r="N26" i="6"/>
  <c r="N11" i="7" s="1"/>
  <c r="N28" i="7" s="1"/>
  <c r="P11" i="8"/>
  <c r="P28" i="8" s="1"/>
  <c r="S26" i="6"/>
  <c r="S11" i="8" s="1"/>
  <c r="S28" i="8" s="1"/>
  <c r="I18" i="6"/>
  <c r="I3" i="7" s="1"/>
  <c r="I20" i="7" s="1"/>
  <c r="D29" i="9"/>
  <c r="D44" i="9" s="1"/>
  <c r="F29" i="9"/>
  <c r="F44" i="9" s="1"/>
  <c r="B29" i="9"/>
  <c r="B44" i="9" s="1"/>
  <c r="G26" i="6"/>
  <c r="G11" i="8" s="1"/>
  <c r="G28" i="8" s="1"/>
  <c r="I26" i="6"/>
  <c r="I11" i="8" s="1"/>
  <c r="I28" i="8" s="1"/>
  <c r="D26" i="6"/>
  <c r="D11" i="8" s="1"/>
  <c r="D28" i="8" s="1"/>
  <c r="J18" i="6"/>
  <c r="J3" i="7" s="1"/>
  <c r="J20" i="7" s="1"/>
  <c r="S18" i="6"/>
  <c r="S3" i="8" s="1"/>
  <c r="S20" i="8" s="1"/>
  <c r="D18" i="6"/>
  <c r="D3" i="7" s="1"/>
  <c r="D20" i="7" s="1"/>
  <c r="C29" i="9"/>
  <c r="C44" i="9" s="1"/>
  <c r="M21" i="9"/>
  <c r="M36" i="9" s="1"/>
  <c r="B25" i="10"/>
  <c r="B55" i="10" s="1"/>
  <c r="H18" i="6"/>
  <c r="H3" i="8" s="1"/>
  <c r="H20" i="8" s="1"/>
  <c r="R26" i="6"/>
  <c r="R11" i="7" s="1"/>
  <c r="R28" i="7" s="1"/>
  <c r="M26" i="6"/>
  <c r="M11" i="7" s="1"/>
  <c r="M28" i="7" s="1"/>
  <c r="F18" i="6"/>
  <c r="F3" i="7" s="1"/>
  <c r="F20" i="7" s="1"/>
  <c r="C18" i="6"/>
  <c r="M25" i="10"/>
  <c r="M55" i="10" s="1"/>
  <c r="S24" i="10"/>
  <c r="S39" i="10" s="1"/>
  <c r="L29" i="10"/>
  <c r="L44" i="10" s="1"/>
  <c r="Q18" i="6"/>
  <c r="Q3" i="8" s="1"/>
  <c r="Q20" i="8" s="1"/>
  <c r="L18" i="6"/>
  <c r="L3" i="7" s="1"/>
  <c r="L20" i="7" s="1"/>
  <c r="K25" i="9"/>
  <c r="K40" i="9" s="1"/>
  <c r="B18" i="6"/>
  <c r="B3" i="7" s="1"/>
  <c r="B20" i="7" s="1"/>
  <c r="T18" i="6"/>
  <c r="T3" i="7" s="1"/>
  <c r="T20" i="7" s="1"/>
  <c r="E19" i="10"/>
  <c r="E49" i="10" s="1"/>
  <c r="R18" i="6"/>
  <c r="R3" i="7" s="1"/>
  <c r="R20" i="7" s="1"/>
  <c r="M18" i="6"/>
  <c r="M3" i="8" s="1"/>
  <c r="M20" i="8" s="1"/>
  <c r="K18" i="6"/>
  <c r="K3" i="7" s="1"/>
  <c r="K20" i="7" s="1"/>
  <c r="N18" i="6"/>
  <c r="N3" i="8" s="1"/>
  <c r="N20" i="8" s="1"/>
  <c r="G25" i="9"/>
  <c r="G40" i="9" s="1"/>
  <c r="S27" i="10"/>
  <c r="S57" i="10" s="1"/>
  <c r="J20" i="6"/>
  <c r="J5" i="7" s="1"/>
  <c r="J22" i="7" s="1"/>
  <c r="O25" i="9"/>
  <c r="O40" i="9" s="1"/>
  <c r="E29" i="10"/>
  <c r="E44" i="10" s="1"/>
  <c r="B23" i="6"/>
  <c r="B8" i="8" s="1"/>
  <c r="B25" i="8" s="1"/>
  <c r="C19" i="10"/>
  <c r="C49" i="10" s="1"/>
  <c r="C20" i="6"/>
  <c r="F20" i="6"/>
  <c r="F5" i="7" s="1"/>
  <c r="F22" i="7" s="1"/>
  <c r="N23" i="6"/>
  <c r="N8" i="7" s="1"/>
  <c r="J23" i="6"/>
  <c r="J8" i="8" s="1"/>
  <c r="J25" i="8" s="1"/>
  <c r="P20" i="9"/>
  <c r="P35" i="9" s="1"/>
  <c r="I29" i="10"/>
  <c r="I59" i="10" s="1"/>
  <c r="Q29" i="10"/>
  <c r="Q59" i="10" s="1"/>
  <c r="F29" i="10"/>
  <c r="F44" i="10" s="1"/>
  <c r="R21" i="10"/>
  <c r="R51" i="10" s="1"/>
  <c r="P29" i="10"/>
  <c r="P44" i="10" s="1"/>
  <c r="R20" i="6"/>
  <c r="R5" i="8" s="1"/>
  <c r="R22" i="8" s="1"/>
  <c r="F23" i="6"/>
  <c r="F8" i="7" s="1"/>
  <c r="H20" i="9"/>
  <c r="H35" i="9" s="1"/>
  <c r="D29" i="10"/>
  <c r="D59" i="10" s="1"/>
  <c r="M29" i="10"/>
  <c r="M44" i="10" s="1"/>
  <c r="P25" i="10"/>
  <c r="P55" i="10" s="1"/>
  <c r="T19" i="10"/>
  <c r="T34" i="10" s="1"/>
  <c r="K20" i="6"/>
  <c r="K5" i="7" s="1"/>
  <c r="K22" i="7" s="1"/>
  <c r="N20" i="6"/>
  <c r="N5" i="8" s="1"/>
  <c r="N22" i="8" s="1"/>
  <c r="G23" i="6"/>
  <c r="G8" i="8" s="1"/>
  <c r="G25" i="8" s="1"/>
  <c r="R23" i="6"/>
  <c r="R8" i="8" s="1"/>
  <c r="R25" i="8" s="1"/>
  <c r="B20" i="9"/>
  <c r="B35" i="9" s="1"/>
  <c r="T29" i="10"/>
  <c r="T44" i="10" s="1"/>
  <c r="G29" i="10"/>
  <c r="G59" i="10" s="1"/>
  <c r="N29" i="10"/>
  <c r="N44" i="10" s="1"/>
  <c r="E21" i="10"/>
  <c r="E36" i="10" s="1"/>
  <c r="G20" i="6"/>
  <c r="G5" i="7" s="1"/>
  <c r="G22" i="7" s="1"/>
  <c r="E20" i="6"/>
  <c r="E5" i="7" s="1"/>
  <c r="E22" i="7" s="1"/>
  <c r="M20" i="6"/>
  <c r="M5" i="7" s="1"/>
  <c r="M22" i="7" s="1"/>
  <c r="F20" i="9"/>
  <c r="F35" i="9" s="1"/>
  <c r="H29" i="10"/>
  <c r="H44" i="10" s="1"/>
  <c r="B21" i="10"/>
  <c r="B51" i="10" s="1"/>
  <c r="G19" i="10"/>
  <c r="G34" i="10" s="1"/>
  <c r="S25" i="10"/>
  <c r="S55" i="10" s="1"/>
  <c r="B19" i="10"/>
  <c r="B49" i="10" s="1"/>
  <c r="H20" i="6"/>
  <c r="H5" i="8" s="1"/>
  <c r="H22" i="8" s="1"/>
  <c r="S20" i="6"/>
  <c r="S5" i="7" s="1"/>
  <c r="S22" i="7" s="1"/>
  <c r="G20" i="9"/>
  <c r="G35" i="9" s="1"/>
  <c r="R20" i="9"/>
  <c r="R35" i="9" s="1"/>
  <c r="K29" i="10"/>
  <c r="K59" i="10" s="1"/>
  <c r="O21" i="10"/>
  <c r="O51" i="10" s="1"/>
  <c r="F21" i="10"/>
  <c r="F51" i="10" s="1"/>
  <c r="F25" i="10"/>
  <c r="F55" i="10" s="1"/>
  <c r="O25" i="10"/>
  <c r="O55" i="10" s="1"/>
  <c r="L25" i="9"/>
  <c r="L40" i="9" s="1"/>
  <c r="R24" i="10"/>
  <c r="R39" i="10" s="1"/>
  <c r="H25" i="10"/>
  <c r="H55" i="10" s="1"/>
  <c r="D24" i="10"/>
  <c r="D54" i="10" s="1"/>
  <c r="P19" i="10"/>
  <c r="P49" i="10" s="1"/>
  <c r="T25" i="10"/>
  <c r="T55" i="10" s="1"/>
  <c r="N25" i="10"/>
  <c r="N40" i="10" s="1"/>
  <c r="K19" i="10"/>
  <c r="K49" i="10" s="1"/>
  <c r="C25" i="10"/>
  <c r="C55" i="10" s="1"/>
  <c r="I25" i="10"/>
  <c r="I55" i="10" s="1"/>
  <c r="L19" i="10"/>
  <c r="L34" i="10" s="1"/>
  <c r="F25" i="9"/>
  <c r="F40" i="9" s="1"/>
  <c r="G27" i="6"/>
  <c r="G12" i="8" s="1"/>
  <c r="G29" i="8" s="1"/>
  <c r="D25" i="10"/>
  <c r="D55" i="10" s="1"/>
  <c r="H27" i="10"/>
  <c r="H57" i="10" s="1"/>
  <c r="Q25" i="10"/>
  <c r="Q55" i="10" s="1"/>
  <c r="R25" i="10"/>
  <c r="R55" i="10" s="1"/>
  <c r="F27" i="10"/>
  <c r="F57" i="10" s="1"/>
  <c r="F19" i="10"/>
  <c r="F34" i="10" s="1"/>
  <c r="B25" i="9"/>
  <c r="B40" i="9" s="1"/>
  <c r="J25" i="10"/>
  <c r="J55" i="10" s="1"/>
  <c r="G25" i="10"/>
  <c r="G40" i="10" s="1"/>
  <c r="E25" i="10"/>
  <c r="E40" i="10" s="1"/>
  <c r="N19" i="10"/>
  <c r="N49" i="10" s="1"/>
  <c r="C25" i="9"/>
  <c r="C40" i="9" s="1"/>
  <c r="R25" i="9"/>
  <c r="R40" i="9" s="1"/>
  <c r="L40" i="10"/>
  <c r="L70" i="10" s="1"/>
  <c r="O27" i="10"/>
  <c r="O57" i="10" s="1"/>
  <c r="T27" i="10"/>
  <c r="T57" i="10" s="1"/>
  <c r="O19" i="10"/>
  <c r="O34" i="10" s="1"/>
  <c r="H28" i="9"/>
  <c r="H43" i="9" s="1"/>
  <c r="S25" i="9"/>
  <c r="S40" i="9" s="1"/>
  <c r="H25" i="9"/>
  <c r="H40" i="9" s="1"/>
  <c r="O20" i="9"/>
  <c r="O35" i="9" s="1"/>
  <c r="K20" i="9"/>
  <c r="K35" i="9" s="1"/>
  <c r="N20" i="9"/>
  <c r="N35" i="9" s="1"/>
  <c r="C21" i="10"/>
  <c r="C36" i="10" s="1"/>
  <c r="T21" i="10"/>
  <c r="T51" i="10" s="1"/>
  <c r="M21" i="10"/>
  <c r="M51" i="10" s="1"/>
  <c r="C27" i="10"/>
  <c r="C42" i="10" s="1"/>
  <c r="B27" i="10"/>
  <c r="B57" i="10" s="1"/>
  <c r="J28" i="9"/>
  <c r="J43" i="9" s="1"/>
  <c r="T25" i="9"/>
  <c r="T40" i="9" s="1"/>
  <c r="P25" i="9"/>
  <c r="P40" i="9" s="1"/>
  <c r="L27" i="10"/>
  <c r="L57" i="10" s="1"/>
  <c r="D19" i="10"/>
  <c r="D49" i="10" s="1"/>
  <c r="P27" i="10"/>
  <c r="P57" i="10" s="1"/>
  <c r="J27" i="10"/>
  <c r="J57" i="10" s="1"/>
  <c r="S19" i="10"/>
  <c r="J19" i="10"/>
  <c r="J49" i="10" s="1"/>
  <c r="C28" i="9"/>
  <c r="C43" i="9" s="1"/>
  <c r="E25" i="9"/>
  <c r="E40" i="9" s="1"/>
  <c r="I25" i="9"/>
  <c r="I40" i="9" s="1"/>
  <c r="I20" i="9"/>
  <c r="I35" i="9" s="1"/>
  <c r="D20" i="9"/>
  <c r="D35" i="9" s="1"/>
  <c r="P21" i="10"/>
  <c r="P36" i="10" s="1"/>
  <c r="K21" i="10"/>
  <c r="K51" i="10" s="1"/>
  <c r="N21" i="10"/>
  <c r="N36" i="10" s="1"/>
  <c r="I27" i="10"/>
  <c r="I42" i="10" s="1"/>
  <c r="D27" i="10"/>
  <c r="D42" i="10" s="1"/>
  <c r="R27" i="10"/>
  <c r="R57" i="10" s="1"/>
  <c r="H19" i="10"/>
  <c r="H49" i="10" s="1"/>
  <c r="R19" i="10"/>
  <c r="R49" i="10" s="1"/>
  <c r="E28" i="9"/>
  <c r="E43" i="9" s="1"/>
  <c r="M25" i="9"/>
  <c r="M40" i="9" s="1"/>
  <c r="Q25" i="9"/>
  <c r="Q40" i="9" s="1"/>
  <c r="Q20" i="9"/>
  <c r="Q35" i="9" s="1"/>
  <c r="L20" i="9"/>
  <c r="L35" i="9" s="1"/>
  <c r="D21" i="10"/>
  <c r="D36" i="10" s="1"/>
  <c r="L21" i="10"/>
  <c r="L51" i="10" s="1"/>
  <c r="N27" i="10"/>
  <c r="N57" i="10" s="1"/>
  <c r="E27" i="10"/>
  <c r="E42" i="10" s="1"/>
  <c r="K27" i="10"/>
  <c r="K57" i="10" s="1"/>
  <c r="Q27" i="10"/>
  <c r="Q42" i="10" s="1"/>
  <c r="Q19" i="10"/>
  <c r="Q49" i="10" s="1"/>
  <c r="G27" i="10"/>
  <c r="G57" i="10" s="1"/>
  <c r="I19" i="10"/>
  <c r="I49" i="10" s="1"/>
  <c r="D25" i="9"/>
  <c r="D40" i="9" s="1"/>
  <c r="N25" i="9"/>
  <c r="N40" i="9" s="1"/>
  <c r="J20" i="9"/>
  <c r="J35" i="9" s="1"/>
  <c r="G21" i="10"/>
  <c r="G51" i="10" s="1"/>
  <c r="K25" i="10"/>
  <c r="E21" i="9"/>
  <c r="E36" i="9" s="1"/>
  <c r="R28" i="9"/>
  <c r="R43" i="9" s="1"/>
  <c r="M28" i="9"/>
  <c r="M43" i="9" s="1"/>
  <c r="S27" i="6"/>
  <c r="S12" i="7" s="1"/>
  <c r="S29" i="7" s="1"/>
  <c r="O27" i="6"/>
  <c r="O12" i="8" s="1"/>
  <c r="O29" i="8" s="1"/>
  <c r="T24" i="10"/>
  <c r="T54" i="10" s="1"/>
  <c r="P24" i="10"/>
  <c r="P39" i="10" s="1"/>
  <c r="L29" i="9"/>
  <c r="L44" i="9" s="1"/>
  <c r="T29" i="9"/>
  <c r="T44" i="9" s="1"/>
  <c r="S29" i="9"/>
  <c r="S44" i="9" s="1"/>
  <c r="L21" i="9"/>
  <c r="L36" i="9" s="1"/>
  <c r="S21" i="9"/>
  <c r="S36" i="9" s="1"/>
  <c r="T21" i="9"/>
  <c r="T36" i="9" s="1"/>
  <c r="K21" i="9"/>
  <c r="K36" i="9" s="1"/>
  <c r="F21" i="9"/>
  <c r="F36" i="9" s="1"/>
  <c r="B21" i="9"/>
  <c r="B36" i="9" s="1"/>
  <c r="O28" i="9"/>
  <c r="O43" i="9" s="1"/>
  <c r="K28" i="9"/>
  <c r="K43" i="9" s="1"/>
  <c r="N28" i="9"/>
  <c r="N43" i="9" s="1"/>
  <c r="P27" i="6"/>
  <c r="P12" i="8" s="1"/>
  <c r="P29" i="8" s="1"/>
  <c r="K24" i="10"/>
  <c r="K54" i="10" s="1"/>
  <c r="N24" i="10"/>
  <c r="N39" i="10" s="1"/>
  <c r="D21" i="9"/>
  <c r="D36" i="9" s="1"/>
  <c r="N21" i="9"/>
  <c r="N36" i="9" s="1"/>
  <c r="J21" i="9"/>
  <c r="J36" i="9" s="1"/>
  <c r="P28" i="9"/>
  <c r="P43" i="9" s="1"/>
  <c r="S28" i="9"/>
  <c r="S43" i="9" s="1"/>
  <c r="E27" i="6"/>
  <c r="E12" i="8" s="1"/>
  <c r="E29" i="8" s="1"/>
  <c r="I27" i="6"/>
  <c r="I12" i="7" s="1"/>
  <c r="I29" i="7" s="1"/>
  <c r="L24" i="10"/>
  <c r="L54" i="10" s="1"/>
  <c r="I24" i="10"/>
  <c r="I39" i="10" s="1"/>
  <c r="H24" i="10"/>
  <c r="H54" i="10" s="1"/>
  <c r="G21" i="9"/>
  <c r="G36" i="9" s="1"/>
  <c r="R21" i="9"/>
  <c r="R36" i="9" s="1"/>
  <c r="I28" i="9"/>
  <c r="I43" i="9" s="1"/>
  <c r="D28" i="9"/>
  <c r="D43" i="9" s="1"/>
  <c r="M27" i="6"/>
  <c r="M12" i="7" s="1"/>
  <c r="M29" i="7" s="1"/>
  <c r="M24" i="10"/>
  <c r="M54" i="10" s="1"/>
  <c r="Q24" i="10"/>
  <c r="Q54" i="10" s="1"/>
  <c r="K27" i="6"/>
  <c r="C27" i="6"/>
  <c r="D27" i="6"/>
  <c r="L27" i="6"/>
  <c r="F24" i="10"/>
  <c r="F54" i="10" s="1"/>
  <c r="O21" i="9"/>
  <c r="O36" i="9" s="1"/>
  <c r="T27" i="6"/>
  <c r="T12" i="8" s="1"/>
  <c r="T29" i="8" s="1"/>
  <c r="Q28" i="9"/>
  <c r="Q43" i="9" s="1"/>
  <c r="L28" i="9"/>
  <c r="L43" i="9" s="1"/>
  <c r="F27" i="6"/>
  <c r="F12" i="8" s="1"/>
  <c r="F29" i="8" s="1"/>
  <c r="B27" i="6"/>
  <c r="B12" i="7" s="1"/>
  <c r="B29" i="7" s="1"/>
  <c r="E24" i="10"/>
  <c r="E54" i="10" s="1"/>
  <c r="C24" i="10"/>
  <c r="C54" i="10" s="1"/>
  <c r="B24" i="10"/>
  <c r="B54" i="10" s="1"/>
  <c r="C23" i="6"/>
  <c r="S23" i="6"/>
  <c r="L23" i="6"/>
  <c r="H27" i="6"/>
  <c r="H12" i="7" s="1"/>
  <c r="H29" i="7" s="1"/>
  <c r="H21" i="9"/>
  <c r="H36" i="9" s="1"/>
  <c r="B28" i="9"/>
  <c r="B43" i="9" s="1"/>
  <c r="T28" i="9"/>
  <c r="T43" i="9" s="1"/>
  <c r="N27" i="6"/>
  <c r="N12" i="8" s="1"/>
  <c r="N29" i="8" s="1"/>
  <c r="J27" i="6"/>
  <c r="G24" i="10"/>
  <c r="G54" i="10" s="1"/>
  <c r="O24" i="10"/>
  <c r="O39" i="10" s="1"/>
  <c r="O20" i="6"/>
  <c r="O5" i="7" s="1"/>
  <c r="O22" i="7" s="1"/>
  <c r="O8" i="7"/>
  <c r="O8" i="8"/>
  <c r="O25" i="8" s="1"/>
  <c r="Q12" i="8"/>
  <c r="Q29" i="8" s="1"/>
  <c r="Q12" i="7"/>
  <c r="Q29" i="7" s="1"/>
  <c r="F16" i="12"/>
  <c r="M16" i="12"/>
  <c r="N18" i="9"/>
  <c r="N33" i="9" s="1"/>
  <c r="F18" i="9"/>
  <c r="F33" i="9" s="1"/>
  <c r="M18" i="9"/>
  <c r="M33" i="9" s="1"/>
  <c r="E18" i="9"/>
  <c r="E33" i="9" s="1"/>
  <c r="T18" i="9"/>
  <c r="T33" i="9" s="1"/>
  <c r="L18" i="9"/>
  <c r="L33" i="9" s="1"/>
  <c r="D18" i="9"/>
  <c r="D33" i="9" s="1"/>
  <c r="S18" i="9"/>
  <c r="S33" i="9" s="1"/>
  <c r="K18" i="9"/>
  <c r="K33" i="9" s="1"/>
  <c r="C18" i="9"/>
  <c r="C33" i="9" s="1"/>
  <c r="R18" i="9"/>
  <c r="R33" i="9" s="1"/>
  <c r="J18" i="9"/>
  <c r="J33" i="9" s="1"/>
  <c r="B18" i="9"/>
  <c r="Q18" i="9"/>
  <c r="Q33" i="9" s="1"/>
  <c r="I18" i="9"/>
  <c r="I33" i="9" s="1"/>
  <c r="G18" i="9"/>
  <c r="G33" i="9" s="1"/>
  <c r="P18" i="9"/>
  <c r="P33" i="9" s="1"/>
  <c r="O18" i="9"/>
  <c r="O33" i="9" s="1"/>
  <c r="H18" i="9"/>
  <c r="H33" i="9" s="1"/>
  <c r="R22" i="10"/>
  <c r="J22" i="10"/>
  <c r="B22" i="10"/>
  <c r="Q22" i="10"/>
  <c r="I22" i="10"/>
  <c r="N22" i="10"/>
  <c r="F22" i="10"/>
  <c r="S22" i="10"/>
  <c r="E22" i="10"/>
  <c r="P22" i="10"/>
  <c r="D22" i="10"/>
  <c r="O22" i="10"/>
  <c r="C22" i="10"/>
  <c r="M22" i="10"/>
  <c r="L22" i="10"/>
  <c r="K22" i="10"/>
  <c r="H22" i="10"/>
  <c r="G22" i="10"/>
  <c r="T22" i="10"/>
  <c r="B16" i="12"/>
  <c r="R28" i="10"/>
  <c r="J28" i="10"/>
  <c r="B28" i="10"/>
  <c r="Q28" i="10"/>
  <c r="I28" i="10"/>
  <c r="N28" i="10"/>
  <c r="F28" i="10"/>
  <c r="M28" i="10"/>
  <c r="L28" i="10"/>
  <c r="K28" i="10"/>
  <c r="H28" i="10"/>
  <c r="T28" i="10"/>
  <c r="G28" i="10"/>
  <c r="S28" i="10"/>
  <c r="E28" i="10"/>
  <c r="P28" i="10"/>
  <c r="O28" i="10"/>
  <c r="D28" i="10"/>
  <c r="C28" i="10"/>
  <c r="R23" i="9"/>
  <c r="R38" i="9" s="1"/>
  <c r="J23" i="9"/>
  <c r="J38" i="9" s="1"/>
  <c r="B23" i="9"/>
  <c r="Q23" i="9"/>
  <c r="Q38" i="9" s="1"/>
  <c r="I23" i="9"/>
  <c r="I38" i="9" s="1"/>
  <c r="P23" i="9"/>
  <c r="P38" i="9" s="1"/>
  <c r="H23" i="9"/>
  <c r="H38" i="9" s="1"/>
  <c r="O23" i="9"/>
  <c r="O38" i="9" s="1"/>
  <c r="G23" i="9"/>
  <c r="G38" i="9" s="1"/>
  <c r="N23" i="9"/>
  <c r="N38" i="9" s="1"/>
  <c r="F23" i="9"/>
  <c r="F38" i="9" s="1"/>
  <c r="M23" i="9"/>
  <c r="M38" i="9" s="1"/>
  <c r="E23" i="9"/>
  <c r="E38" i="9" s="1"/>
  <c r="C23" i="9"/>
  <c r="C38" i="9" s="1"/>
  <c r="T23" i="9"/>
  <c r="T38" i="9" s="1"/>
  <c r="S23" i="9"/>
  <c r="S38" i="9" s="1"/>
  <c r="L23" i="9"/>
  <c r="L38" i="9" s="1"/>
  <c r="K23" i="9"/>
  <c r="K38" i="9" s="1"/>
  <c r="D23" i="9"/>
  <c r="D38" i="9" s="1"/>
  <c r="R21" i="6"/>
  <c r="J21" i="6"/>
  <c r="B21" i="6"/>
  <c r="Q21" i="6"/>
  <c r="I21" i="6"/>
  <c r="P21" i="6"/>
  <c r="H21" i="6"/>
  <c r="O21" i="6"/>
  <c r="G21" i="6"/>
  <c r="N21" i="6"/>
  <c r="F21" i="6"/>
  <c r="M21" i="6"/>
  <c r="E21" i="6"/>
  <c r="S21" i="6"/>
  <c r="D21" i="6"/>
  <c r="L21" i="6"/>
  <c r="K21" i="6"/>
  <c r="C21" i="6"/>
  <c r="T21" i="6"/>
  <c r="G16" i="12"/>
  <c r="E16" i="12"/>
  <c r="C16" i="12"/>
  <c r="J16" i="12"/>
  <c r="R26" i="10"/>
  <c r="J26" i="10"/>
  <c r="B26" i="10"/>
  <c r="Q26" i="10"/>
  <c r="I26" i="10"/>
  <c r="N26" i="10"/>
  <c r="F26" i="10"/>
  <c r="O26" i="10"/>
  <c r="C26" i="10"/>
  <c r="M26" i="10"/>
  <c r="L26" i="10"/>
  <c r="K26" i="10"/>
  <c r="H26" i="10"/>
  <c r="T26" i="10"/>
  <c r="G26" i="10"/>
  <c r="S26" i="10"/>
  <c r="P26" i="10"/>
  <c r="E26" i="10"/>
  <c r="D26" i="10"/>
  <c r="K16" i="12"/>
  <c r="I16" i="12"/>
  <c r="R19" i="9"/>
  <c r="R34" i="9" s="1"/>
  <c r="J19" i="9"/>
  <c r="J34" i="9" s="1"/>
  <c r="B19" i="9"/>
  <c r="Q19" i="9"/>
  <c r="Q34" i="9" s="1"/>
  <c r="I19" i="9"/>
  <c r="I34" i="9" s="1"/>
  <c r="P19" i="9"/>
  <c r="P34" i="9" s="1"/>
  <c r="H19" i="9"/>
  <c r="H34" i="9" s="1"/>
  <c r="O19" i="9"/>
  <c r="O34" i="9" s="1"/>
  <c r="G19" i="9"/>
  <c r="G34" i="9" s="1"/>
  <c r="N19" i="9"/>
  <c r="N34" i="9" s="1"/>
  <c r="F19" i="9"/>
  <c r="F34" i="9" s="1"/>
  <c r="M19" i="9"/>
  <c r="M34" i="9" s="1"/>
  <c r="E19" i="9"/>
  <c r="E34" i="9" s="1"/>
  <c r="S19" i="9"/>
  <c r="S34" i="9" s="1"/>
  <c r="L19" i="9"/>
  <c r="L34" i="9" s="1"/>
  <c r="K19" i="9"/>
  <c r="K34" i="9" s="1"/>
  <c r="D19" i="9"/>
  <c r="D34" i="9" s="1"/>
  <c r="C19" i="9"/>
  <c r="C34" i="9" s="1"/>
  <c r="T19" i="9"/>
  <c r="T34" i="9" s="1"/>
  <c r="N24" i="9"/>
  <c r="N39" i="9" s="1"/>
  <c r="F24" i="9"/>
  <c r="F39" i="9" s="1"/>
  <c r="M24" i="9"/>
  <c r="M39" i="9" s="1"/>
  <c r="E24" i="9"/>
  <c r="E39" i="9" s="1"/>
  <c r="T24" i="9"/>
  <c r="T39" i="9" s="1"/>
  <c r="L24" i="9"/>
  <c r="L39" i="9" s="1"/>
  <c r="D24" i="9"/>
  <c r="D39" i="9" s="1"/>
  <c r="S24" i="9"/>
  <c r="S39" i="9" s="1"/>
  <c r="K24" i="9"/>
  <c r="K39" i="9" s="1"/>
  <c r="C24" i="9"/>
  <c r="C39" i="9" s="1"/>
  <c r="R24" i="9"/>
  <c r="R39" i="9" s="1"/>
  <c r="J24" i="9"/>
  <c r="J39" i="9" s="1"/>
  <c r="B24" i="9"/>
  <c r="Q24" i="9"/>
  <c r="Q39" i="9" s="1"/>
  <c r="I24" i="9"/>
  <c r="I39" i="9" s="1"/>
  <c r="O24" i="9"/>
  <c r="O39" i="9" s="1"/>
  <c r="H24" i="9"/>
  <c r="H39" i="9" s="1"/>
  <c r="G24" i="9"/>
  <c r="G39" i="9" s="1"/>
  <c r="P24" i="9"/>
  <c r="P39" i="9" s="1"/>
  <c r="A1" i="23"/>
  <c r="N24" i="6"/>
  <c r="F24" i="6"/>
  <c r="M24" i="6"/>
  <c r="E24" i="6"/>
  <c r="T24" i="6"/>
  <c r="L24" i="6"/>
  <c r="D24" i="6"/>
  <c r="S24" i="6"/>
  <c r="K24" i="6"/>
  <c r="C24" i="6"/>
  <c r="R24" i="6"/>
  <c r="J24" i="6"/>
  <c r="B24" i="6"/>
  <c r="Q24" i="6"/>
  <c r="I24" i="6"/>
  <c r="H24" i="6"/>
  <c r="P24" i="6"/>
  <c r="O24" i="6"/>
  <c r="G24" i="6"/>
  <c r="N22" i="6"/>
  <c r="F22" i="6"/>
  <c r="M22" i="6"/>
  <c r="E22" i="6"/>
  <c r="T22" i="6"/>
  <c r="L22" i="6"/>
  <c r="D22" i="6"/>
  <c r="S22" i="6"/>
  <c r="K22" i="6"/>
  <c r="C22" i="6"/>
  <c r="R22" i="6"/>
  <c r="J22" i="6"/>
  <c r="B22" i="6"/>
  <c r="Q22" i="6"/>
  <c r="I22" i="6"/>
  <c r="P22" i="6"/>
  <c r="G22" i="6"/>
  <c r="O22" i="6"/>
  <c r="H22" i="6"/>
  <c r="D16" i="12"/>
  <c r="R19" i="6"/>
  <c r="J19" i="6"/>
  <c r="B19" i="6"/>
  <c r="Q19" i="6"/>
  <c r="I19" i="6"/>
  <c r="P19" i="6"/>
  <c r="H19" i="6"/>
  <c r="O19" i="6"/>
  <c r="G19" i="6"/>
  <c r="N19" i="6"/>
  <c r="F19" i="6"/>
  <c r="M19" i="6"/>
  <c r="E19" i="6"/>
  <c r="L19" i="6"/>
  <c r="T19" i="6"/>
  <c r="S19" i="6"/>
  <c r="K19" i="6"/>
  <c r="C19" i="6"/>
  <c r="D19" i="6"/>
  <c r="J54" i="10"/>
  <c r="J39" i="10"/>
  <c r="J51" i="10"/>
  <c r="J36" i="10"/>
  <c r="N23" i="10"/>
  <c r="F23" i="10"/>
  <c r="M23" i="10"/>
  <c r="E23" i="10"/>
  <c r="R23" i="10"/>
  <c r="J23" i="10"/>
  <c r="B23" i="10"/>
  <c r="K23" i="10"/>
  <c r="I23" i="10"/>
  <c r="T23" i="10"/>
  <c r="H23" i="10"/>
  <c r="S23" i="10"/>
  <c r="G23" i="10"/>
  <c r="Q23" i="10"/>
  <c r="D23" i="10"/>
  <c r="P23" i="10"/>
  <c r="C23" i="10"/>
  <c r="O23" i="10"/>
  <c r="L23" i="10"/>
  <c r="N28" i="6"/>
  <c r="F28" i="6"/>
  <c r="M28" i="6"/>
  <c r="E28" i="6"/>
  <c r="T28" i="6"/>
  <c r="L28" i="6"/>
  <c r="D28" i="6"/>
  <c r="S28" i="6"/>
  <c r="K28" i="6"/>
  <c r="C28" i="6"/>
  <c r="R28" i="6"/>
  <c r="J28" i="6"/>
  <c r="B28" i="6"/>
  <c r="Q28" i="6"/>
  <c r="I28" i="6"/>
  <c r="G28" i="6"/>
  <c r="H28" i="6"/>
  <c r="P28" i="6"/>
  <c r="O28" i="6"/>
  <c r="E3" i="7"/>
  <c r="E20" i="7" s="1"/>
  <c r="R27" i="9"/>
  <c r="R42" i="9" s="1"/>
  <c r="J27" i="9"/>
  <c r="J42" i="9" s="1"/>
  <c r="B27" i="9"/>
  <c r="Q27" i="9"/>
  <c r="Q42" i="9" s="1"/>
  <c r="I27" i="9"/>
  <c r="I42" i="9" s="1"/>
  <c r="P27" i="9"/>
  <c r="P42" i="9" s="1"/>
  <c r="H27" i="9"/>
  <c r="H42" i="9" s="1"/>
  <c r="O27" i="9"/>
  <c r="O42" i="9" s="1"/>
  <c r="G27" i="9"/>
  <c r="G42" i="9" s="1"/>
  <c r="N27" i="9"/>
  <c r="N42" i="9" s="1"/>
  <c r="F27" i="9"/>
  <c r="F42" i="9" s="1"/>
  <c r="M27" i="9"/>
  <c r="M42" i="9" s="1"/>
  <c r="E27" i="9"/>
  <c r="E42" i="9" s="1"/>
  <c r="S27" i="9"/>
  <c r="S42" i="9" s="1"/>
  <c r="L27" i="9"/>
  <c r="L42" i="9" s="1"/>
  <c r="K27" i="9"/>
  <c r="K42" i="9" s="1"/>
  <c r="D27" i="9"/>
  <c r="D42" i="9" s="1"/>
  <c r="C27" i="9"/>
  <c r="C42" i="9" s="1"/>
  <c r="T27" i="9"/>
  <c r="T42" i="9" s="1"/>
  <c r="R18" i="10"/>
  <c r="J18" i="10"/>
  <c r="B18" i="10"/>
  <c r="Q18" i="10"/>
  <c r="I18" i="10"/>
  <c r="N18" i="10"/>
  <c r="F18" i="10"/>
  <c r="H18" i="10"/>
  <c r="T18" i="10"/>
  <c r="G18" i="10"/>
  <c r="S18" i="10"/>
  <c r="E18" i="10"/>
  <c r="P18" i="10"/>
  <c r="D18" i="10"/>
  <c r="O18" i="10"/>
  <c r="C18" i="10"/>
  <c r="M18" i="10"/>
  <c r="L18" i="10"/>
  <c r="K18" i="10"/>
  <c r="R20" i="10"/>
  <c r="J20" i="10"/>
  <c r="B20" i="10"/>
  <c r="Q20" i="10"/>
  <c r="I20" i="10"/>
  <c r="N20" i="10"/>
  <c r="F20" i="10"/>
  <c r="T20" i="10"/>
  <c r="G20" i="10"/>
  <c r="S20" i="10"/>
  <c r="E20" i="10"/>
  <c r="P20" i="10"/>
  <c r="D20" i="10"/>
  <c r="O20" i="10"/>
  <c r="C20" i="10"/>
  <c r="M20" i="10"/>
  <c r="L20" i="10"/>
  <c r="H20" i="10"/>
  <c r="K20" i="10"/>
  <c r="M57" i="10"/>
  <c r="M42" i="10"/>
  <c r="M34" i="10"/>
  <c r="M49" i="10"/>
  <c r="R25" i="6"/>
  <c r="J25" i="6"/>
  <c r="B25" i="6"/>
  <c r="Q25" i="6"/>
  <c r="I25" i="6"/>
  <c r="P25" i="6"/>
  <c r="H25" i="6"/>
  <c r="O25" i="6"/>
  <c r="G25" i="6"/>
  <c r="N25" i="6"/>
  <c r="F25" i="6"/>
  <c r="M25" i="6"/>
  <c r="E25" i="6"/>
  <c r="C25" i="6"/>
  <c r="T25" i="6"/>
  <c r="K25" i="6"/>
  <c r="S25" i="6"/>
  <c r="L25" i="6"/>
  <c r="D25" i="6"/>
  <c r="L16" i="12"/>
  <c r="H16" i="12"/>
  <c r="N22" i="9"/>
  <c r="N37" i="9" s="1"/>
  <c r="F22" i="9"/>
  <c r="F37" i="9" s="1"/>
  <c r="M22" i="9"/>
  <c r="M37" i="9" s="1"/>
  <c r="E22" i="9"/>
  <c r="E37" i="9" s="1"/>
  <c r="T22" i="9"/>
  <c r="T37" i="9" s="1"/>
  <c r="L22" i="9"/>
  <c r="L37" i="9" s="1"/>
  <c r="D22" i="9"/>
  <c r="D37" i="9" s="1"/>
  <c r="S22" i="9"/>
  <c r="S37" i="9" s="1"/>
  <c r="K22" i="9"/>
  <c r="K37" i="9" s="1"/>
  <c r="C22" i="9"/>
  <c r="C37" i="9" s="1"/>
  <c r="R22" i="9"/>
  <c r="R37" i="9" s="1"/>
  <c r="J22" i="9"/>
  <c r="J37" i="9" s="1"/>
  <c r="B22" i="9"/>
  <c r="Q22" i="9"/>
  <c r="Q37" i="9" s="1"/>
  <c r="I22" i="9"/>
  <c r="I37" i="9" s="1"/>
  <c r="P22" i="9"/>
  <c r="P37" i="9" s="1"/>
  <c r="O22" i="9"/>
  <c r="O37" i="9" s="1"/>
  <c r="H22" i="9"/>
  <c r="H37" i="9" s="1"/>
  <c r="G22" i="9"/>
  <c r="G37" i="9" s="1"/>
  <c r="N26" i="9"/>
  <c r="N41" i="9" s="1"/>
  <c r="F26" i="9"/>
  <c r="F41" i="9" s="1"/>
  <c r="M26" i="9"/>
  <c r="M41" i="9" s="1"/>
  <c r="E26" i="9"/>
  <c r="E41" i="9" s="1"/>
  <c r="T26" i="9"/>
  <c r="T41" i="9" s="1"/>
  <c r="L26" i="9"/>
  <c r="L41" i="9" s="1"/>
  <c r="D26" i="9"/>
  <c r="D41" i="9" s="1"/>
  <c r="S26" i="9"/>
  <c r="S41" i="9" s="1"/>
  <c r="K26" i="9"/>
  <c r="K41" i="9" s="1"/>
  <c r="C26" i="9"/>
  <c r="C41" i="9" s="1"/>
  <c r="R26" i="9"/>
  <c r="R41" i="9" s="1"/>
  <c r="J26" i="9"/>
  <c r="J41" i="9" s="1"/>
  <c r="B26" i="9"/>
  <c r="Q26" i="9"/>
  <c r="Q41" i="9" s="1"/>
  <c r="I26" i="9"/>
  <c r="I41" i="9" s="1"/>
  <c r="G26" i="9"/>
  <c r="G41" i="9" s="1"/>
  <c r="P26" i="9"/>
  <c r="P41" i="9" s="1"/>
  <c r="O26" i="9"/>
  <c r="O41" i="9" s="1"/>
  <c r="H26" i="9"/>
  <c r="H41" i="9" s="1"/>
  <c r="R29" i="6"/>
  <c r="J29" i="6"/>
  <c r="B29" i="6"/>
  <c r="Q29" i="6"/>
  <c r="I29" i="6"/>
  <c r="P29" i="6"/>
  <c r="H29" i="6"/>
  <c r="O29" i="6"/>
  <c r="G29" i="6"/>
  <c r="N29" i="6"/>
  <c r="F29" i="6"/>
  <c r="M29" i="6"/>
  <c r="E29" i="6"/>
  <c r="S29" i="6"/>
  <c r="D29" i="6"/>
  <c r="L29" i="6"/>
  <c r="K29" i="6"/>
  <c r="C29" i="6"/>
  <c r="T29" i="6"/>
  <c r="S59" i="10"/>
  <c r="S44" i="10"/>
  <c r="J11" i="7" l="1"/>
  <c r="J28" i="7" s="1"/>
  <c r="L11" i="8"/>
  <c r="L28" i="8" s="1"/>
  <c r="S36" i="10"/>
  <c r="S66" i="10" s="1"/>
  <c r="I51" i="10"/>
  <c r="I66" i="10" s="1"/>
  <c r="Q8" i="8"/>
  <c r="Q25" i="8" s="1"/>
  <c r="I8" i="8"/>
  <c r="I25" i="8" s="1"/>
  <c r="G3" i="8"/>
  <c r="G20" i="8" s="1"/>
  <c r="R8" i="7"/>
  <c r="M3" i="7"/>
  <c r="M20" i="7" s="1"/>
  <c r="H5" i="7"/>
  <c r="H22" i="7" s="1"/>
  <c r="B5" i="7"/>
  <c r="B22" i="7" s="1"/>
  <c r="R44" i="10"/>
  <c r="R74" i="10" s="1"/>
  <c r="S54" i="10"/>
  <c r="S69" i="10" s="1"/>
  <c r="D8" i="7"/>
  <c r="T11" i="8"/>
  <c r="T28" i="8" s="1"/>
  <c r="I5" i="7"/>
  <c r="I22" i="7" s="1"/>
  <c r="H59" i="10"/>
  <c r="H74" i="10" s="1"/>
  <c r="M8" i="7"/>
  <c r="G11" i="7"/>
  <c r="G28" i="7" s="1"/>
  <c r="F11" i="7"/>
  <c r="F28" i="7" s="1"/>
  <c r="C40" i="10"/>
  <c r="C70" i="10" s="1"/>
  <c r="H3" i="7"/>
  <c r="H20" i="7" s="1"/>
  <c r="K8" i="7"/>
  <c r="F49" i="10"/>
  <c r="F64" i="10" s="1"/>
  <c r="Q44" i="10"/>
  <c r="Q74" i="10" s="1"/>
  <c r="Q11" i="7"/>
  <c r="Q28" i="7" s="1"/>
  <c r="Q36" i="10"/>
  <c r="Q66" i="10" s="1"/>
  <c r="M40" i="10"/>
  <c r="M70" i="10" s="1"/>
  <c r="E8" i="7"/>
  <c r="B40" i="10"/>
  <c r="B70" i="10" s="1"/>
  <c r="E34" i="10"/>
  <c r="E64" i="10" s="1"/>
  <c r="R12" i="8"/>
  <c r="R29" i="8" s="1"/>
  <c r="D5" i="8"/>
  <c r="D22" i="8" s="1"/>
  <c r="L59" i="10"/>
  <c r="L74" i="10" s="1"/>
  <c r="G8" i="7"/>
  <c r="T5" i="7"/>
  <c r="T22" i="7" s="1"/>
  <c r="P8" i="7"/>
  <c r="J44" i="10"/>
  <c r="J74" i="10" s="1"/>
  <c r="H11" i="7"/>
  <c r="H28" i="7" s="1"/>
  <c r="B44" i="10"/>
  <c r="B74" i="10" s="1"/>
  <c r="N34" i="10"/>
  <c r="N64" i="10" s="1"/>
  <c r="H8" i="7"/>
  <c r="T8" i="7"/>
  <c r="N12" i="7"/>
  <c r="N29" i="7" s="1"/>
  <c r="S3" i="7"/>
  <c r="S20" i="7" s="1"/>
  <c r="B11" i="7"/>
  <c r="B28" i="7" s="1"/>
  <c r="P59" i="10"/>
  <c r="P74" i="10" s="1"/>
  <c r="I3" i="8"/>
  <c r="I20" i="8" s="1"/>
  <c r="O59" i="10"/>
  <c r="O74" i="10" s="1"/>
  <c r="N55" i="10"/>
  <c r="N70" i="10" s="1"/>
  <c r="N5" i="7"/>
  <c r="N22" i="7" s="1"/>
  <c r="E55" i="10"/>
  <c r="E70" i="10" s="1"/>
  <c r="Q5" i="7"/>
  <c r="Q22" i="7" s="1"/>
  <c r="I12" i="8"/>
  <c r="I29" i="8" s="1"/>
  <c r="F3" i="8"/>
  <c r="F20" i="8" s="1"/>
  <c r="O3" i="7"/>
  <c r="O20" i="7" s="1"/>
  <c r="M12" i="8"/>
  <c r="M29" i="8" s="1"/>
  <c r="C44" i="10"/>
  <c r="C74" i="10" s="1"/>
  <c r="N3" i="7"/>
  <c r="N20" i="7" s="1"/>
  <c r="L5" i="8"/>
  <c r="L22" i="8" s="1"/>
  <c r="O11" i="8"/>
  <c r="O28" i="8" s="1"/>
  <c r="S11" i="7"/>
  <c r="S28" i="7" s="1"/>
  <c r="E51" i="10"/>
  <c r="E66" i="10" s="1"/>
  <c r="F5" i="8"/>
  <c r="F22" i="8" s="1"/>
  <c r="M11" i="8"/>
  <c r="M28" i="8" s="1"/>
  <c r="P12" i="7"/>
  <c r="P29" i="7" s="1"/>
  <c r="J3" i="8"/>
  <c r="J20" i="8" s="1"/>
  <c r="H34" i="10"/>
  <c r="H64" i="10" s="1"/>
  <c r="D40" i="10"/>
  <c r="D70" i="10" s="1"/>
  <c r="Q3" i="7"/>
  <c r="Q20" i="7" s="1"/>
  <c r="S40" i="10"/>
  <c r="S70" i="10" s="1"/>
  <c r="G55" i="10"/>
  <c r="G70" i="10" s="1"/>
  <c r="S12" i="8"/>
  <c r="S29" i="8" s="1"/>
  <c r="F39" i="10"/>
  <c r="F69" i="10" s="1"/>
  <c r="D34" i="10"/>
  <c r="D64" i="10" s="1"/>
  <c r="F36" i="10"/>
  <c r="F66" i="10" s="1"/>
  <c r="H51" i="10"/>
  <c r="H66" i="10" s="1"/>
  <c r="E12" i="7"/>
  <c r="E29" i="7" s="1"/>
  <c r="C39" i="10"/>
  <c r="C69" i="10" s="1"/>
  <c r="K5" i="8"/>
  <c r="K22" i="8" s="1"/>
  <c r="D11" i="7"/>
  <c r="D28" i="7" s="1"/>
  <c r="I11" i="7"/>
  <c r="I28" i="7" s="1"/>
  <c r="F59" i="10"/>
  <c r="F74" i="10" s="1"/>
  <c r="D57" i="10"/>
  <c r="D72" i="10" s="1"/>
  <c r="R11" i="8"/>
  <c r="R28" i="8" s="1"/>
  <c r="L3" i="8"/>
  <c r="L20" i="8" s="1"/>
  <c r="U18" i="6"/>
  <c r="U26" i="6"/>
  <c r="N59" i="10"/>
  <c r="N74" i="10" s="1"/>
  <c r="N11" i="8"/>
  <c r="N28" i="8" s="1"/>
  <c r="E11" i="8"/>
  <c r="E28" i="8" s="1"/>
  <c r="F8" i="8"/>
  <c r="F25" i="8" s="1"/>
  <c r="C11" i="8"/>
  <c r="C28" i="8" s="1"/>
  <c r="D3" i="8"/>
  <c r="D20" i="8" s="1"/>
  <c r="C57" i="10"/>
  <c r="C72" i="10" s="1"/>
  <c r="K3" i="8"/>
  <c r="K20" i="8" s="1"/>
  <c r="O40" i="10"/>
  <c r="O70" i="10" s="1"/>
  <c r="C3" i="8"/>
  <c r="C20" i="8" s="1"/>
  <c r="C3" i="7"/>
  <c r="C20" i="7" s="1"/>
  <c r="J5" i="8"/>
  <c r="J22" i="8" s="1"/>
  <c r="K11" i="7"/>
  <c r="K28" i="7" s="1"/>
  <c r="S42" i="10"/>
  <c r="S72" i="10" s="1"/>
  <c r="R34" i="10"/>
  <c r="R64" i="10" s="1"/>
  <c r="H42" i="10"/>
  <c r="H72" i="10" s="1"/>
  <c r="N42" i="10"/>
  <c r="N72" i="10" s="1"/>
  <c r="R5" i="7"/>
  <c r="R22" i="7" s="1"/>
  <c r="G5" i="8"/>
  <c r="G22" i="8" s="1"/>
  <c r="B34" i="10"/>
  <c r="B64" i="10" s="1"/>
  <c r="N8" i="8"/>
  <c r="N25" i="8" s="1"/>
  <c r="P42" i="10"/>
  <c r="P72" i="10" s="1"/>
  <c r="B39" i="10"/>
  <c r="B69" i="10" s="1"/>
  <c r="B3" i="8"/>
  <c r="B20" i="8" s="1"/>
  <c r="O12" i="7"/>
  <c r="O29" i="7" s="1"/>
  <c r="F40" i="10"/>
  <c r="F70" i="10" s="1"/>
  <c r="M36" i="10"/>
  <c r="M66" i="10" s="1"/>
  <c r="Q34" i="10"/>
  <c r="Q64" i="10" s="1"/>
  <c r="J40" i="10"/>
  <c r="J70" i="10" s="1"/>
  <c r="O36" i="10"/>
  <c r="O66" i="10" s="1"/>
  <c r="U29" i="10"/>
  <c r="E57" i="10"/>
  <c r="E72" i="10" s="1"/>
  <c r="J42" i="10"/>
  <c r="J72" i="10" s="1"/>
  <c r="Q40" i="10"/>
  <c r="Q70" i="10" s="1"/>
  <c r="R3" i="8"/>
  <c r="R20" i="8" s="1"/>
  <c r="J8" i="7"/>
  <c r="P51" i="10"/>
  <c r="P66" i="10" s="1"/>
  <c r="K34" i="10"/>
  <c r="K64" i="10" s="1"/>
  <c r="I44" i="10"/>
  <c r="I74" i="10" s="1"/>
  <c r="Q57" i="10"/>
  <c r="Q72" i="10" s="1"/>
  <c r="Q27" i="11" s="1"/>
  <c r="E5" i="8"/>
  <c r="E22" i="8" s="1"/>
  <c r="T3" i="8"/>
  <c r="T20" i="8" s="1"/>
  <c r="E59" i="10"/>
  <c r="E74" i="10" s="1"/>
  <c r="U25" i="10"/>
  <c r="M5" i="8"/>
  <c r="M22" i="8" s="1"/>
  <c r="J66" i="10"/>
  <c r="L49" i="10"/>
  <c r="L64" i="10" s="1"/>
  <c r="U20" i="6"/>
  <c r="R36" i="10"/>
  <c r="R66" i="10" s="1"/>
  <c r="H12" i="8"/>
  <c r="H29" i="8" s="1"/>
  <c r="T49" i="10"/>
  <c r="T64" i="10" s="1"/>
  <c r="B36" i="10"/>
  <c r="B66" i="10" s="1"/>
  <c r="C5" i="8"/>
  <c r="C22" i="8" s="1"/>
  <c r="H40" i="10"/>
  <c r="H70" i="10" s="1"/>
  <c r="T42" i="10"/>
  <c r="T72" i="10" s="1"/>
  <c r="K44" i="10"/>
  <c r="K74" i="10" s="1"/>
  <c r="S5" i="8"/>
  <c r="S22" i="8" s="1"/>
  <c r="F42" i="10"/>
  <c r="F72" i="10" s="1"/>
  <c r="T59" i="10"/>
  <c r="T74" i="10" s="1"/>
  <c r="R54" i="10"/>
  <c r="R69" i="10" s="1"/>
  <c r="C5" i="7"/>
  <c r="C22" i="7" s="1"/>
  <c r="M59" i="10"/>
  <c r="M74" i="10" s="1"/>
  <c r="J34" i="10"/>
  <c r="J64" i="10" s="1"/>
  <c r="G49" i="10"/>
  <c r="G64" i="10" s="1"/>
  <c r="O42" i="10"/>
  <c r="O72" i="10" s="1"/>
  <c r="P34" i="10"/>
  <c r="P64" i="10" s="1"/>
  <c r="G44" i="10"/>
  <c r="G74" i="10" s="1"/>
  <c r="H39" i="10"/>
  <c r="H69" i="10" s="1"/>
  <c r="O5" i="8"/>
  <c r="O22" i="8" s="1"/>
  <c r="P40" i="10"/>
  <c r="P70" i="10" s="1"/>
  <c r="G42" i="10"/>
  <c r="G72" i="10" s="1"/>
  <c r="D39" i="10"/>
  <c r="D69" i="10" s="1"/>
  <c r="B8" i="7"/>
  <c r="D44" i="10"/>
  <c r="D74" i="10" s="1"/>
  <c r="C34" i="10"/>
  <c r="C64" i="10" s="1"/>
  <c r="B12" i="8"/>
  <c r="B29" i="8" s="1"/>
  <c r="K42" i="10"/>
  <c r="K72" i="10" s="1"/>
  <c r="D51" i="10"/>
  <c r="D66" i="10" s="1"/>
  <c r="C51" i="10"/>
  <c r="C66" i="10" s="1"/>
  <c r="G39" i="10"/>
  <c r="G69" i="10" s="1"/>
  <c r="P54" i="10"/>
  <c r="P69" i="10" s="1"/>
  <c r="I57" i="10"/>
  <c r="I72" i="10" s="1"/>
  <c r="T36" i="10"/>
  <c r="T66" i="10" s="1"/>
  <c r="I34" i="10"/>
  <c r="I64" i="10" s="1"/>
  <c r="I40" i="10"/>
  <c r="I70" i="10" s="1"/>
  <c r="U29" i="9"/>
  <c r="G36" i="10"/>
  <c r="G66" i="10" s="1"/>
  <c r="R42" i="10"/>
  <c r="R72" i="10" s="1"/>
  <c r="G12" i="7"/>
  <c r="G29" i="7" s="1"/>
  <c r="N51" i="10"/>
  <c r="N66" i="10" s="1"/>
  <c r="O49" i="10"/>
  <c r="O64" i="10" s="1"/>
  <c r="U24" i="10"/>
  <c r="I54" i="10"/>
  <c r="I69" i="10" s="1"/>
  <c r="L36" i="10"/>
  <c r="L66" i="10" s="1"/>
  <c r="U23" i="6"/>
  <c r="U19" i="10"/>
  <c r="T40" i="10"/>
  <c r="T70" i="10" s="1"/>
  <c r="E39" i="10"/>
  <c r="E69" i="10" s="1"/>
  <c r="Q39" i="10"/>
  <c r="Q69" i="10" s="1"/>
  <c r="F12" i="7"/>
  <c r="F29" i="7" s="1"/>
  <c r="R40" i="10"/>
  <c r="R70" i="10" s="1"/>
  <c r="L42" i="10"/>
  <c r="L72" i="10" s="1"/>
  <c r="U27" i="10"/>
  <c r="T39" i="10"/>
  <c r="T69" i="10" s="1"/>
  <c r="B42" i="10"/>
  <c r="B72" i="10" s="1"/>
  <c r="U36" i="9"/>
  <c r="W36" i="9" s="1"/>
  <c r="K40" i="10"/>
  <c r="K55" i="10"/>
  <c r="U40" i="9"/>
  <c r="W40" i="9" s="1"/>
  <c r="M72" i="10"/>
  <c r="J69" i="10"/>
  <c r="U21" i="10"/>
  <c r="S34" i="10"/>
  <c r="S49" i="10"/>
  <c r="U20" i="9"/>
  <c r="N54" i="10"/>
  <c r="N69" i="10" s="1"/>
  <c r="K36" i="10"/>
  <c r="K66" i="10" s="1"/>
  <c r="U35" i="9"/>
  <c r="W35" i="9" s="1"/>
  <c r="U28" i="9"/>
  <c r="K39" i="10"/>
  <c r="K69" i="10" s="1"/>
  <c r="U27" i="6"/>
  <c r="U25" i="9"/>
  <c r="L8" i="7"/>
  <c r="L8" i="8"/>
  <c r="L25" i="8" s="1"/>
  <c r="K12" i="7"/>
  <c r="K29" i="7" s="1"/>
  <c r="K12" i="8"/>
  <c r="K29" i="8" s="1"/>
  <c r="S8" i="8"/>
  <c r="S25" i="8" s="1"/>
  <c r="S8" i="7"/>
  <c r="U44" i="9"/>
  <c r="W44" i="9" s="1"/>
  <c r="U43" i="9"/>
  <c r="W43" i="9" s="1"/>
  <c r="Q6" i="19"/>
  <c r="L6" i="19"/>
  <c r="O54" i="10"/>
  <c r="O69" i="10" s="1"/>
  <c r="T12" i="7"/>
  <c r="T29" i="7" s="1"/>
  <c r="U21" i="9"/>
  <c r="M39" i="10"/>
  <c r="M69" i="10" s="1"/>
  <c r="L39" i="10"/>
  <c r="L69" i="10" s="1"/>
  <c r="C8" i="7"/>
  <c r="C8" i="8"/>
  <c r="C25" i="8" s="1"/>
  <c r="L12" i="8"/>
  <c r="L29" i="8" s="1"/>
  <c r="L12" i="7"/>
  <c r="L29" i="7" s="1"/>
  <c r="J12" i="8"/>
  <c r="J29" i="8" s="1"/>
  <c r="D12" i="8"/>
  <c r="D29" i="8" s="1"/>
  <c r="D12" i="7"/>
  <c r="D29" i="7" s="1"/>
  <c r="S74" i="10"/>
  <c r="J12" i="7"/>
  <c r="J29" i="7" s="1"/>
  <c r="C12" i="7"/>
  <c r="C29" i="7" s="1"/>
  <c r="C12" i="8"/>
  <c r="C29" i="8" s="1"/>
  <c r="H13" i="7"/>
  <c r="H30" i="7" s="1"/>
  <c r="H13" i="8"/>
  <c r="H30" i="8" s="1"/>
  <c r="N9" i="8"/>
  <c r="N9" i="7"/>
  <c r="N26" i="7" s="1"/>
  <c r="U19" i="9"/>
  <c r="B34" i="9"/>
  <c r="U34" i="9" s="1"/>
  <c r="W34" i="9" s="1"/>
  <c r="G41" i="10"/>
  <c r="G56" i="10"/>
  <c r="F37" i="10"/>
  <c r="F52" i="10"/>
  <c r="I14" i="8"/>
  <c r="I31" i="8" s="1"/>
  <c r="I14" i="7"/>
  <c r="I31" i="7" s="1"/>
  <c r="N48" i="10"/>
  <c r="N33" i="10"/>
  <c r="H9" i="8"/>
  <c r="H9" i="7"/>
  <c r="H26" i="7" s="1"/>
  <c r="N56" i="10"/>
  <c r="N41" i="10"/>
  <c r="I6" i="7"/>
  <c r="I23" i="7" s="1"/>
  <c r="I6" i="8"/>
  <c r="I23" i="8" s="1"/>
  <c r="N37" i="10"/>
  <c r="N52" i="10"/>
  <c r="U18" i="9"/>
  <c r="B33" i="9"/>
  <c r="M14" i="7"/>
  <c r="M31" i="7" s="1"/>
  <c r="M14" i="8"/>
  <c r="M31" i="8" s="1"/>
  <c r="Q14" i="8"/>
  <c r="Q31" i="8" s="1"/>
  <c r="Q14" i="7"/>
  <c r="Q31" i="7" s="1"/>
  <c r="D10" i="8"/>
  <c r="D27" i="8" s="1"/>
  <c r="D10" i="7"/>
  <c r="D27" i="7" s="1"/>
  <c r="F10" i="8"/>
  <c r="F27" i="8" s="1"/>
  <c r="F10" i="7"/>
  <c r="F27" i="7" s="1"/>
  <c r="B10" i="8"/>
  <c r="B27" i="8" s="1"/>
  <c r="U25" i="6"/>
  <c r="B10" i="7"/>
  <c r="B27" i="7" s="1"/>
  <c r="O50" i="10"/>
  <c r="O35" i="10"/>
  <c r="N50" i="10"/>
  <c r="N35" i="10"/>
  <c r="P48" i="10"/>
  <c r="P33" i="10"/>
  <c r="I33" i="10"/>
  <c r="I48" i="10"/>
  <c r="I13" i="8"/>
  <c r="I30" i="8" s="1"/>
  <c r="I13" i="7"/>
  <c r="I30" i="7" s="1"/>
  <c r="D13" i="8"/>
  <c r="D30" i="8" s="1"/>
  <c r="D13" i="7"/>
  <c r="D30" i="7" s="1"/>
  <c r="O53" i="10"/>
  <c r="O38" i="10"/>
  <c r="T53" i="10"/>
  <c r="T38" i="10"/>
  <c r="F53" i="10"/>
  <c r="F38" i="10"/>
  <c r="M4" i="8"/>
  <c r="M21" i="8" s="1"/>
  <c r="M4" i="7"/>
  <c r="M21" i="7" s="1"/>
  <c r="Q4" i="7"/>
  <c r="Q21" i="7" s="1"/>
  <c r="Q4" i="8"/>
  <c r="Q21" i="8" s="1"/>
  <c r="P7" i="8"/>
  <c r="P24" i="8" s="1"/>
  <c r="P7" i="7"/>
  <c r="P24" i="7" s="1"/>
  <c r="S7" i="8"/>
  <c r="S24" i="8" s="1"/>
  <c r="S7" i="7"/>
  <c r="S24" i="7" s="1"/>
  <c r="I9" i="8"/>
  <c r="I9" i="7"/>
  <c r="I26" i="7" s="1"/>
  <c r="D9" i="7"/>
  <c r="D26" i="7" s="1"/>
  <c r="D9" i="8"/>
  <c r="H41" i="10"/>
  <c r="H56" i="10"/>
  <c r="I41" i="10"/>
  <c r="I56" i="10"/>
  <c r="M6" i="7"/>
  <c r="M23" i="7" s="1"/>
  <c r="M6" i="8"/>
  <c r="M23" i="8" s="1"/>
  <c r="Q6" i="8"/>
  <c r="Q23" i="8" s="1"/>
  <c r="Q6" i="7"/>
  <c r="Q23" i="7" s="1"/>
  <c r="P58" i="10"/>
  <c r="P43" i="10"/>
  <c r="M58" i="10"/>
  <c r="M43" i="10"/>
  <c r="C52" i="10"/>
  <c r="C37" i="10"/>
  <c r="I52" i="10"/>
  <c r="I37" i="10"/>
  <c r="J6" i="19"/>
  <c r="E6" i="19"/>
  <c r="E10" i="8"/>
  <c r="E27" i="8" s="1"/>
  <c r="E10" i="7"/>
  <c r="E27" i="7" s="1"/>
  <c r="M50" i="10"/>
  <c r="M35" i="10"/>
  <c r="O48" i="10"/>
  <c r="O33" i="10"/>
  <c r="L4" i="8"/>
  <c r="L21" i="8" s="1"/>
  <c r="L4" i="7"/>
  <c r="L21" i="7" s="1"/>
  <c r="F7" i="8"/>
  <c r="F24" i="8" s="1"/>
  <c r="F7" i="7"/>
  <c r="F24" i="7" s="1"/>
  <c r="S6" i="8"/>
  <c r="S23" i="8" s="1"/>
  <c r="S6" i="7"/>
  <c r="S23" i="7" s="1"/>
  <c r="D58" i="10"/>
  <c r="D43" i="10"/>
  <c r="C35" i="10"/>
  <c r="C50" i="10"/>
  <c r="D48" i="10"/>
  <c r="D33" i="10"/>
  <c r="I4" i="7"/>
  <c r="I21" i="7" s="1"/>
  <c r="I4" i="8"/>
  <c r="I21" i="8" s="1"/>
  <c r="N7" i="8"/>
  <c r="N24" i="8" s="1"/>
  <c r="N7" i="7"/>
  <c r="N24" i="7" s="1"/>
  <c r="M37" i="10"/>
  <c r="M52" i="10"/>
  <c r="T6" i="19"/>
  <c r="T14" i="8"/>
  <c r="T31" i="8" s="1"/>
  <c r="T14" i="7"/>
  <c r="T31" i="7" s="1"/>
  <c r="F14" i="8"/>
  <c r="F31" i="8" s="1"/>
  <c r="F14" i="7"/>
  <c r="F31" i="7" s="1"/>
  <c r="B14" i="8"/>
  <c r="B31" i="8" s="1"/>
  <c r="B14" i="7"/>
  <c r="B31" i="7" s="1"/>
  <c r="U29" i="6"/>
  <c r="L10" i="8"/>
  <c r="L27" i="8" s="1"/>
  <c r="L10" i="7"/>
  <c r="L27" i="7" s="1"/>
  <c r="N10" i="8"/>
  <c r="N27" i="8" s="1"/>
  <c r="N10" i="7"/>
  <c r="N27" i="7" s="1"/>
  <c r="J10" i="8"/>
  <c r="J27" i="8" s="1"/>
  <c r="J10" i="7"/>
  <c r="J27" i="7" s="1"/>
  <c r="D35" i="10"/>
  <c r="D50" i="10"/>
  <c r="I35" i="10"/>
  <c r="I50" i="10"/>
  <c r="E48" i="10"/>
  <c r="E33" i="10"/>
  <c r="Q33" i="10"/>
  <c r="Q48" i="10"/>
  <c r="Q13" i="8"/>
  <c r="Q30" i="8" s="1"/>
  <c r="Q13" i="7"/>
  <c r="Q30" i="7" s="1"/>
  <c r="L13" i="8"/>
  <c r="L30" i="8" s="1"/>
  <c r="L13" i="7"/>
  <c r="L30" i="7" s="1"/>
  <c r="C38" i="10"/>
  <c r="C53" i="10"/>
  <c r="I38" i="10"/>
  <c r="I53" i="10"/>
  <c r="N53" i="10"/>
  <c r="N38" i="10"/>
  <c r="D4" i="8"/>
  <c r="D21" i="8" s="1"/>
  <c r="D4" i="7"/>
  <c r="D21" i="7" s="1"/>
  <c r="F4" i="7"/>
  <c r="F21" i="7" s="1"/>
  <c r="F4" i="8"/>
  <c r="F21" i="8" s="1"/>
  <c r="B4" i="7"/>
  <c r="B21" i="7" s="1"/>
  <c r="B4" i="8"/>
  <c r="B21" i="8" s="1"/>
  <c r="U19" i="6"/>
  <c r="I7" i="7"/>
  <c r="I24" i="7" s="1"/>
  <c r="I7" i="8"/>
  <c r="I24" i="8" s="1"/>
  <c r="D7" i="8"/>
  <c r="D24" i="8" s="1"/>
  <c r="D7" i="7"/>
  <c r="D24" i="7" s="1"/>
  <c r="Q9" i="8"/>
  <c r="Q9" i="7"/>
  <c r="Q26" i="7" s="1"/>
  <c r="L9" i="7"/>
  <c r="L26" i="7" s="1"/>
  <c r="L9" i="8"/>
  <c r="B39" i="9"/>
  <c r="U39" i="9" s="1"/>
  <c r="W39" i="9" s="1"/>
  <c r="U24" i="9"/>
  <c r="K56" i="10"/>
  <c r="K41" i="10"/>
  <c r="Q56" i="10"/>
  <c r="Q41" i="10"/>
  <c r="T6" i="7"/>
  <c r="T23" i="7" s="1"/>
  <c r="T6" i="8"/>
  <c r="T23" i="8" s="1"/>
  <c r="F6" i="8"/>
  <c r="F23" i="8" s="1"/>
  <c r="F6" i="7"/>
  <c r="F23" i="7" s="1"/>
  <c r="B6" i="7"/>
  <c r="B23" i="7" s="1"/>
  <c r="B6" i="8"/>
  <c r="B23" i="8" s="1"/>
  <c r="U21" i="6"/>
  <c r="E58" i="10"/>
  <c r="E43" i="10"/>
  <c r="F58" i="10"/>
  <c r="F43" i="10"/>
  <c r="O52" i="10"/>
  <c r="O37" i="10"/>
  <c r="Q52" i="10"/>
  <c r="Q37" i="10"/>
  <c r="H6" i="19"/>
  <c r="R6" i="19"/>
  <c r="M6" i="19"/>
  <c r="P14" i="8"/>
  <c r="P31" i="8" s="1"/>
  <c r="P14" i="7"/>
  <c r="P31" i="7" s="1"/>
  <c r="O7" i="8"/>
  <c r="O24" i="8" s="1"/>
  <c r="O7" i="7"/>
  <c r="O24" i="7" s="1"/>
  <c r="F56" i="10"/>
  <c r="F41" i="10"/>
  <c r="P6" i="8"/>
  <c r="P23" i="8" s="1"/>
  <c r="P6" i="7"/>
  <c r="P23" i="7" s="1"/>
  <c r="K58" i="10"/>
  <c r="K43" i="10"/>
  <c r="M53" i="10"/>
  <c r="M38" i="10"/>
  <c r="K7" i="8"/>
  <c r="K24" i="8" s="1"/>
  <c r="K7" i="7"/>
  <c r="K24" i="7" s="1"/>
  <c r="T56" i="10"/>
  <c r="T41" i="10"/>
  <c r="L58" i="10"/>
  <c r="L43" i="10"/>
  <c r="C14" i="8"/>
  <c r="C31" i="8" s="1"/>
  <c r="C14" i="7"/>
  <c r="C31" i="7" s="1"/>
  <c r="N14" i="8"/>
  <c r="N31" i="8" s="1"/>
  <c r="N14" i="7"/>
  <c r="N31" i="7" s="1"/>
  <c r="J14" i="8"/>
  <c r="J31" i="8" s="1"/>
  <c r="J14" i="7"/>
  <c r="J31" i="7" s="1"/>
  <c r="S10" i="8"/>
  <c r="S27" i="8" s="1"/>
  <c r="S10" i="7"/>
  <c r="S27" i="7" s="1"/>
  <c r="G10" i="8"/>
  <c r="G27" i="8" s="1"/>
  <c r="G10" i="7"/>
  <c r="G27" i="7" s="1"/>
  <c r="R10" i="8"/>
  <c r="R27" i="8" s="1"/>
  <c r="R10" i="7"/>
  <c r="R27" i="7" s="1"/>
  <c r="P50" i="10"/>
  <c r="P35" i="10"/>
  <c r="Q50" i="10"/>
  <c r="Q35" i="10"/>
  <c r="K48" i="10"/>
  <c r="K33" i="10"/>
  <c r="S48" i="10"/>
  <c r="S33" i="10"/>
  <c r="B33" i="10"/>
  <c r="B48" i="10"/>
  <c r="U18" i="10"/>
  <c r="B13" i="8"/>
  <c r="B30" i="8" s="1"/>
  <c r="U28" i="6"/>
  <c r="B13" i="7"/>
  <c r="B30" i="7" s="1"/>
  <c r="T13" i="8"/>
  <c r="T30" i="8" s="1"/>
  <c r="T13" i="7"/>
  <c r="T30" i="7" s="1"/>
  <c r="P53" i="10"/>
  <c r="P38" i="10"/>
  <c r="K38" i="10"/>
  <c r="K53" i="10"/>
  <c r="C4" i="7"/>
  <c r="C21" i="7" s="1"/>
  <c r="C4" i="8"/>
  <c r="C21" i="8" s="1"/>
  <c r="N4" i="7"/>
  <c r="N21" i="7" s="1"/>
  <c r="N4" i="8"/>
  <c r="N21" i="8" s="1"/>
  <c r="J4" i="7"/>
  <c r="J21" i="7" s="1"/>
  <c r="J4" i="8"/>
  <c r="J21" i="8" s="1"/>
  <c r="Q7" i="7"/>
  <c r="Q24" i="7" s="1"/>
  <c r="Q7" i="8"/>
  <c r="Q24" i="8" s="1"/>
  <c r="L7" i="8"/>
  <c r="L24" i="8" s="1"/>
  <c r="L7" i="7"/>
  <c r="L24" i="7" s="1"/>
  <c r="B9" i="8"/>
  <c r="U24" i="6"/>
  <c r="B9" i="7"/>
  <c r="B26" i="7" s="1"/>
  <c r="T9" i="7"/>
  <c r="T26" i="7" s="1"/>
  <c r="T9" i="8"/>
  <c r="D56" i="10"/>
  <c r="D41" i="10"/>
  <c r="L56" i="10"/>
  <c r="L41" i="10"/>
  <c r="B56" i="10"/>
  <c r="B41" i="10"/>
  <c r="U26" i="10"/>
  <c r="C6" i="7"/>
  <c r="C23" i="7" s="1"/>
  <c r="C6" i="8"/>
  <c r="C23" i="8" s="1"/>
  <c r="N6" i="8"/>
  <c r="N23" i="8" s="1"/>
  <c r="N6" i="7"/>
  <c r="N23" i="7" s="1"/>
  <c r="J6" i="7"/>
  <c r="J23" i="7" s="1"/>
  <c r="J6" i="8"/>
  <c r="J23" i="8" s="1"/>
  <c r="U23" i="9"/>
  <c r="B38" i="9"/>
  <c r="U38" i="9" s="1"/>
  <c r="W38" i="9" s="1"/>
  <c r="S43" i="10"/>
  <c r="S58" i="10"/>
  <c r="N58" i="10"/>
  <c r="N43" i="10"/>
  <c r="T37" i="10"/>
  <c r="T52" i="10"/>
  <c r="D52" i="10"/>
  <c r="D37" i="10"/>
  <c r="B52" i="10"/>
  <c r="B37" i="10"/>
  <c r="U22" i="10"/>
  <c r="O6" i="19"/>
  <c r="C6" i="19"/>
  <c r="F6" i="19"/>
  <c r="I10" i="7"/>
  <c r="I27" i="7" s="1"/>
  <c r="I10" i="8"/>
  <c r="I27" i="8" s="1"/>
  <c r="F48" i="10"/>
  <c r="F33" i="10"/>
  <c r="K13" i="8"/>
  <c r="K30" i="8" s="1"/>
  <c r="K13" i="7"/>
  <c r="K30" i="7" s="1"/>
  <c r="P9" i="8"/>
  <c r="P9" i="7"/>
  <c r="P26" i="7" s="1"/>
  <c r="L37" i="10"/>
  <c r="L52" i="10"/>
  <c r="M10" i="8"/>
  <c r="M27" i="8" s="1"/>
  <c r="M10" i="7"/>
  <c r="M27" i="7" s="1"/>
  <c r="E4" i="8"/>
  <c r="E21" i="8" s="1"/>
  <c r="E4" i="7"/>
  <c r="E21" i="7" s="1"/>
  <c r="S9" i="7"/>
  <c r="S26" i="7" s="1"/>
  <c r="S9" i="8"/>
  <c r="E6" i="7"/>
  <c r="E23" i="7" s="1"/>
  <c r="E6" i="8"/>
  <c r="E23" i="8" s="1"/>
  <c r="K14" i="8"/>
  <c r="K31" i="8" s="1"/>
  <c r="K14" i="7"/>
  <c r="K31" i="7" s="1"/>
  <c r="G14" i="8"/>
  <c r="G31" i="8" s="1"/>
  <c r="G14" i="7"/>
  <c r="G31" i="7" s="1"/>
  <c r="R14" i="8"/>
  <c r="R31" i="8" s="1"/>
  <c r="R14" i="7"/>
  <c r="R31" i="7" s="1"/>
  <c r="U26" i="9"/>
  <c r="B41" i="9"/>
  <c r="U41" i="9" s="1"/>
  <c r="W41" i="9" s="1"/>
  <c r="K10" i="8"/>
  <c r="K27" i="8" s="1"/>
  <c r="K10" i="7"/>
  <c r="K27" i="7" s="1"/>
  <c r="O10" i="8"/>
  <c r="O27" i="8" s="1"/>
  <c r="O10" i="7"/>
  <c r="O27" i="7" s="1"/>
  <c r="K35" i="10"/>
  <c r="K50" i="10"/>
  <c r="E50" i="10"/>
  <c r="E35" i="10"/>
  <c r="B50" i="10"/>
  <c r="B35" i="10"/>
  <c r="U20" i="10"/>
  <c r="L48" i="10"/>
  <c r="L33" i="10"/>
  <c r="G33" i="10"/>
  <c r="G48" i="10"/>
  <c r="J33" i="10"/>
  <c r="J48" i="10"/>
  <c r="J13" i="8"/>
  <c r="J30" i="8" s="1"/>
  <c r="J13" i="7"/>
  <c r="J30" i="7" s="1"/>
  <c r="E13" i="8"/>
  <c r="E30" i="8" s="1"/>
  <c r="E13" i="7"/>
  <c r="E30" i="7" s="1"/>
  <c r="D53" i="10"/>
  <c r="D38" i="10"/>
  <c r="B38" i="10"/>
  <c r="U23" i="10"/>
  <c r="B53" i="10"/>
  <c r="K4" i="7"/>
  <c r="K21" i="7" s="1"/>
  <c r="K4" i="8"/>
  <c r="K21" i="8" s="1"/>
  <c r="G4" i="7"/>
  <c r="G21" i="7" s="1"/>
  <c r="G4" i="8"/>
  <c r="G21" i="8" s="1"/>
  <c r="R4" i="7"/>
  <c r="R21" i="7" s="1"/>
  <c r="R4" i="8"/>
  <c r="R21" i="8" s="1"/>
  <c r="B7" i="7"/>
  <c r="B24" i="7" s="1"/>
  <c r="U22" i="6"/>
  <c r="B7" i="8"/>
  <c r="B24" i="8" s="1"/>
  <c r="T7" i="8"/>
  <c r="T24" i="8" s="1"/>
  <c r="T7" i="7"/>
  <c r="T24" i="7" s="1"/>
  <c r="J9" i="8"/>
  <c r="J9" i="7"/>
  <c r="J26" i="7" s="1"/>
  <c r="E9" i="8"/>
  <c r="E9" i="7"/>
  <c r="E26" i="7" s="1"/>
  <c r="E56" i="10"/>
  <c r="E41" i="10"/>
  <c r="M56" i="10"/>
  <c r="M41" i="10"/>
  <c r="J56" i="10"/>
  <c r="J41" i="10"/>
  <c r="K6" i="7"/>
  <c r="K23" i="7" s="1"/>
  <c r="K6" i="8"/>
  <c r="K23" i="8" s="1"/>
  <c r="G6" i="8"/>
  <c r="G23" i="8" s="1"/>
  <c r="G6" i="7"/>
  <c r="G23" i="7" s="1"/>
  <c r="R6" i="7"/>
  <c r="R23" i="7" s="1"/>
  <c r="R6" i="8"/>
  <c r="R23" i="8" s="1"/>
  <c r="G58" i="10"/>
  <c r="G43" i="10"/>
  <c r="I58" i="10"/>
  <c r="I43" i="10"/>
  <c r="G52" i="10"/>
  <c r="G37" i="10"/>
  <c r="P52" i="10"/>
  <c r="P37" i="10"/>
  <c r="J52" i="10"/>
  <c r="J37" i="10"/>
  <c r="P6" i="19"/>
  <c r="K6" i="19"/>
  <c r="N6" i="19"/>
  <c r="S14" i="8"/>
  <c r="S31" i="8" s="1"/>
  <c r="S14" i="7"/>
  <c r="S31" i="7" s="1"/>
  <c r="N13" i="8"/>
  <c r="N30" i="8" s="1"/>
  <c r="N13" i="7"/>
  <c r="N30" i="7" s="1"/>
  <c r="S38" i="10"/>
  <c r="S53" i="10"/>
  <c r="C7" i="8"/>
  <c r="C24" i="8" s="1"/>
  <c r="C7" i="7"/>
  <c r="C24" i="7" s="1"/>
  <c r="E14" i="7"/>
  <c r="E31" i="7" s="1"/>
  <c r="E14" i="8"/>
  <c r="E31" i="8" s="1"/>
  <c r="Q10" i="7"/>
  <c r="Q27" i="7" s="1"/>
  <c r="Q10" i="8"/>
  <c r="Q27" i="8" s="1"/>
  <c r="F50" i="10"/>
  <c r="F35" i="10"/>
  <c r="S13" i="8"/>
  <c r="S30" i="8" s="1"/>
  <c r="S13" i="7"/>
  <c r="S30" i="7" s="1"/>
  <c r="H38" i="10"/>
  <c r="H53" i="10"/>
  <c r="R43" i="10"/>
  <c r="R58" i="10"/>
  <c r="L14" i="7"/>
  <c r="L31" i="7" s="1"/>
  <c r="L14" i="8"/>
  <c r="L31" i="8" s="1"/>
  <c r="O14" i="8"/>
  <c r="O31" i="8" s="1"/>
  <c r="O14" i="7"/>
  <c r="O31" i="7" s="1"/>
  <c r="T10" i="8"/>
  <c r="T27" i="8" s="1"/>
  <c r="T10" i="7"/>
  <c r="T27" i="7" s="1"/>
  <c r="H10" i="7"/>
  <c r="H27" i="7" s="1"/>
  <c r="H10" i="8"/>
  <c r="H27" i="8" s="1"/>
  <c r="M64" i="10"/>
  <c r="H50" i="10"/>
  <c r="H35" i="10"/>
  <c r="S35" i="10"/>
  <c r="S50" i="10"/>
  <c r="J35" i="10"/>
  <c r="J50" i="10"/>
  <c r="M48" i="10"/>
  <c r="M33" i="10"/>
  <c r="T48" i="10"/>
  <c r="T33" i="10"/>
  <c r="R33" i="10"/>
  <c r="R48" i="10"/>
  <c r="O13" i="7"/>
  <c r="O30" i="7" s="1"/>
  <c r="O13" i="8"/>
  <c r="O30" i="8" s="1"/>
  <c r="R13" i="8"/>
  <c r="R30" i="8" s="1"/>
  <c r="R13" i="7"/>
  <c r="R30" i="7" s="1"/>
  <c r="M13" i="8"/>
  <c r="M30" i="8" s="1"/>
  <c r="M13" i="7"/>
  <c r="M30" i="7" s="1"/>
  <c r="Q38" i="10"/>
  <c r="Q53" i="10"/>
  <c r="J38" i="10"/>
  <c r="J53" i="10"/>
  <c r="S4" i="7"/>
  <c r="S4" i="8"/>
  <c r="S21" i="8" s="1"/>
  <c r="O4" i="7"/>
  <c r="O21" i="7" s="1"/>
  <c r="O4" i="8"/>
  <c r="O21" i="8" s="1"/>
  <c r="J7" i="7"/>
  <c r="J24" i="7" s="1"/>
  <c r="J7" i="8"/>
  <c r="J24" i="8" s="1"/>
  <c r="E7" i="8"/>
  <c r="E24" i="8" s="1"/>
  <c r="E7" i="7"/>
  <c r="E24" i="7" s="1"/>
  <c r="G9" i="8"/>
  <c r="G9" i="7"/>
  <c r="G26" i="7" s="1"/>
  <c r="R9" i="8"/>
  <c r="R9" i="7"/>
  <c r="R26" i="7" s="1"/>
  <c r="M9" i="8"/>
  <c r="M9" i="7"/>
  <c r="M26" i="7" s="1"/>
  <c r="P56" i="10"/>
  <c r="P41" i="10"/>
  <c r="C41" i="10"/>
  <c r="C56" i="10"/>
  <c r="R56" i="10"/>
  <c r="R41" i="10"/>
  <c r="L6" i="7"/>
  <c r="L23" i="7" s="1"/>
  <c r="L6" i="8"/>
  <c r="L23" i="8" s="1"/>
  <c r="O6" i="8"/>
  <c r="O23" i="8" s="1"/>
  <c r="O6" i="7"/>
  <c r="O23" i="7" s="1"/>
  <c r="T58" i="10"/>
  <c r="T43" i="10"/>
  <c r="Q43" i="10"/>
  <c r="Q58" i="10"/>
  <c r="H52" i="10"/>
  <c r="H37" i="10"/>
  <c r="E37" i="10"/>
  <c r="E52" i="10"/>
  <c r="R52" i="10"/>
  <c r="R37" i="10"/>
  <c r="G6" i="19"/>
  <c r="S6" i="19"/>
  <c r="T35" i="10"/>
  <c r="T50" i="10"/>
  <c r="E53" i="10"/>
  <c r="E38" i="10"/>
  <c r="P4" i="7"/>
  <c r="P21" i="7" s="1"/>
  <c r="P4" i="8"/>
  <c r="P21" i="8" s="1"/>
  <c r="K9" i="7"/>
  <c r="K26" i="7" s="1"/>
  <c r="K9" i="8"/>
  <c r="J58" i="10"/>
  <c r="J43" i="10"/>
  <c r="G13" i="8"/>
  <c r="G30" i="8" s="1"/>
  <c r="G13" i="7"/>
  <c r="G30" i="7" s="1"/>
  <c r="L53" i="10"/>
  <c r="L38" i="10"/>
  <c r="G7" i="8"/>
  <c r="G24" i="8" s="1"/>
  <c r="G7" i="7"/>
  <c r="G24" i="7" s="1"/>
  <c r="O58" i="10"/>
  <c r="O43" i="10"/>
  <c r="D14" i="7"/>
  <c r="D31" i="7" s="1"/>
  <c r="D14" i="8"/>
  <c r="D31" i="8" s="1"/>
  <c r="H14" i="8"/>
  <c r="H31" i="8" s="1"/>
  <c r="H14" i="7"/>
  <c r="H31" i="7" s="1"/>
  <c r="U22" i="9"/>
  <c r="B37" i="9"/>
  <c r="U37" i="9" s="1"/>
  <c r="W37" i="9" s="1"/>
  <c r="C10" i="8"/>
  <c r="C27" i="8" s="1"/>
  <c r="C10" i="7"/>
  <c r="C27" i="7" s="1"/>
  <c r="P10" i="7"/>
  <c r="P27" i="7" s="1"/>
  <c r="P10" i="8"/>
  <c r="P27" i="8" s="1"/>
  <c r="L35" i="10"/>
  <c r="L50" i="10"/>
  <c r="G50" i="10"/>
  <c r="G35" i="10"/>
  <c r="R50" i="10"/>
  <c r="R35" i="10"/>
  <c r="C48" i="10"/>
  <c r="C33" i="10"/>
  <c r="H33" i="10"/>
  <c r="H48" i="10"/>
  <c r="U27" i="9"/>
  <c r="B42" i="9"/>
  <c r="U42" i="9" s="1"/>
  <c r="W42" i="9" s="1"/>
  <c r="P13" i="7"/>
  <c r="P30" i="7" s="1"/>
  <c r="P13" i="8"/>
  <c r="P30" i="8" s="1"/>
  <c r="C13" i="8"/>
  <c r="C30" i="8" s="1"/>
  <c r="C13" i="7"/>
  <c r="C30" i="7" s="1"/>
  <c r="F13" i="8"/>
  <c r="F30" i="8" s="1"/>
  <c r="F13" i="7"/>
  <c r="F30" i="7" s="1"/>
  <c r="G53" i="10"/>
  <c r="G38" i="10"/>
  <c r="R38" i="10"/>
  <c r="R53" i="10"/>
  <c r="T4" i="8"/>
  <c r="T21" i="8" s="1"/>
  <c r="T4" i="7"/>
  <c r="T21" i="7" s="1"/>
  <c r="H4" i="7"/>
  <c r="H21" i="7" s="1"/>
  <c r="H4" i="8"/>
  <c r="H21" i="8" s="1"/>
  <c r="H7" i="8"/>
  <c r="H24" i="8" s="1"/>
  <c r="H7" i="7"/>
  <c r="H24" i="7" s="1"/>
  <c r="R7" i="7"/>
  <c r="R24" i="7" s="1"/>
  <c r="R7" i="8"/>
  <c r="R24" i="8" s="1"/>
  <c r="M7" i="8"/>
  <c r="M24" i="8" s="1"/>
  <c r="M7" i="7"/>
  <c r="M24" i="7" s="1"/>
  <c r="O9" i="8"/>
  <c r="O9" i="7"/>
  <c r="O26" i="7" s="1"/>
  <c r="C9" i="7"/>
  <c r="C26" i="7" s="1"/>
  <c r="C9" i="8"/>
  <c r="F9" i="7"/>
  <c r="F26" i="7" s="1"/>
  <c r="F9" i="8"/>
  <c r="S56" i="10"/>
  <c r="S41" i="10"/>
  <c r="O56" i="10"/>
  <c r="O41" i="10"/>
  <c r="D6" i="7"/>
  <c r="D23" i="7" s="1"/>
  <c r="D6" i="8"/>
  <c r="D23" i="8" s="1"/>
  <c r="H6" i="7"/>
  <c r="H23" i="7" s="1"/>
  <c r="H6" i="8"/>
  <c r="H23" i="8" s="1"/>
  <c r="C43" i="10"/>
  <c r="C58" i="10"/>
  <c r="H58" i="10"/>
  <c r="H43" i="10"/>
  <c r="B43" i="10"/>
  <c r="B58" i="10"/>
  <c r="U28" i="10"/>
  <c r="K37" i="10"/>
  <c r="K52" i="10"/>
  <c r="S52" i="10"/>
  <c r="S37" i="10"/>
  <c r="I6" i="19"/>
  <c r="D6" i="19"/>
  <c r="R27" i="11" l="1"/>
  <c r="N27" i="11"/>
  <c r="I27" i="11"/>
  <c r="I12" i="14" s="1"/>
  <c r="E27" i="11"/>
  <c r="E12" i="14" s="1"/>
  <c r="O27" i="11"/>
  <c r="M27" i="11"/>
  <c r="M12" i="14" s="1"/>
  <c r="S27" i="11"/>
  <c r="P27" i="11"/>
  <c r="S64" i="10"/>
  <c r="U64" i="10" s="1"/>
  <c r="W64" i="10" s="1"/>
  <c r="H27" i="11"/>
  <c r="H12" i="14" s="1"/>
  <c r="T73" i="10"/>
  <c r="T28" i="11" s="1"/>
  <c r="O25" i="11"/>
  <c r="E19" i="11"/>
  <c r="E4" i="14" s="1"/>
  <c r="F27" i="11"/>
  <c r="F12" i="14" s="1"/>
  <c r="T27" i="11"/>
  <c r="M68" i="10"/>
  <c r="K71" i="10"/>
  <c r="K26" i="11" s="1"/>
  <c r="K11" i="14" s="1"/>
  <c r="G68" i="10"/>
  <c r="F65" i="10"/>
  <c r="F20" i="11" s="1"/>
  <c r="F5" i="14" s="1"/>
  <c r="D73" i="10"/>
  <c r="D28" i="11" s="1"/>
  <c r="D13" i="14" s="1"/>
  <c r="P73" i="10"/>
  <c r="P28" i="11" s="1"/>
  <c r="G27" i="11"/>
  <c r="G12" i="14" s="1"/>
  <c r="C29" i="11"/>
  <c r="C14" i="14" s="1"/>
  <c r="C27" i="11"/>
  <c r="C12" i="14" s="1"/>
  <c r="E25" i="11"/>
  <c r="E10" i="14" s="1"/>
  <c r="R67" i="10"/>
  <c r="R22" i="11" s="1"/>
  <c r="J67" i="10"/>
  <c r="J22" i="11" s="1"/>
  <c r="J7" i="14" s="1"/>
  <c r="K73" i="10"/>
  <c r="K28" i="11" s="1"/>
  <c r="K13" i="14" s="1"/>
  <c r="S68" i="10"/>
  <c r="L67" i="10"/>
  <c r="L22" i="11" s="1"/>
  <c r="L7" i="14" s="1"/>
  <c r="F21" i="11"/>
  <c r="F6" i="14" s="1"/>
  <c r="B25" i="11"/>
  <c r="B10" i="14" s="1"/>
  <c r="H73" i="10"/>
  <c r="H28" i="11" s="1"/>
  <c r="H13" i="14" s="1"/>
  <c r="B71" i="10"/>
  <c r="B26" i="11" s="1"/>
  <c r="R21" i="11"/>
  <c r="E71" i="10"/>
  <c r="E26" i="11" s="1"/>
  <c r="E11" i="14" s="1"/>
  <c r="F71" i="10"/>
  <c r="F26" i="11" s="1"/>
  <c r="F11" i="14" s="1"/>
  <c r="U74" i="10"/>
  <c r="W74" i="10" s="1"/>
  <c r="M16" i="8"/>
  <c r="M26" i="8" s="1"/>
  <c r="M33" i="8" s="1"/>
  <c r="M65" i="10"/>
  <c r="M20" i="11" s="1"/>
  <c r="M5" i="14" s="1"/>
  <c r="F68" i="10"/>
  <c r="D25" i="11"/>
  <c r="D10" i="14" s="1"/>
  <c r="T19" i="11"/>
  <c r="B68" i="10"/>
  <c r="E65" i="10"/>
  <c r="E20" i="11" s="1"/>
  <c r="E5" i="14" s="1"/>
  <c r="D67" i="10"/>
  <c r="D22" i="11" s="1"/>
  <c r="D7" i="14" s="1"/>
  <c r="Q21" i="11"/>
  <c r="D27" i="11"/>
  <c r="D12" i="14" s="1"/>
  <c r="K27" i="11"/>
  <c r="K12" i="14" s="1"/>
  <c r="T65" i="10"/>
  <c r="T20" i="11" s="1"/>
  <c r="H67" i="10"/>
  <c r="H22" i="11" s="1"/>
  <c r="H7" i="14" s="1"/>
  <c r="P67" i="10"/>
  <c r="P22" i="11" s="1"/>
  <c r="J29" i="11"/>
  <c r="J14" i="14" s="1"/>
  <c r="T71" i="10"/>
  <c r="T26" i="11" s="1"/>
  <c r="L16" i="8"/>
  <c r="L26" i="8" s="1"/>
  <c r="L33" i="8" s="1"/>
  <c r="L19" i="11"/>
  <c r="L4" i="14" s="1"/>
  <c r="M21" i="11"/>
  <c r="M6" i="14" s="1"/>
  <c r="K70" i="10"/>
  <c r="K25" i="11" s="1"/>
  <c r="K10" i="14" s="1"/>
  <c r="N73" i="10"/>
  <c r="N28" i="11" s="1"/>
  <c r="N21" i="11"/>
  <c r="I68" i="10"/>
  <c r="H19" i="11"/>
  <c r="H4" i="14" s="1"/>
  <c r="B65" i="10"/>
  <c r="B20" i="11" s="1"/>
  <c r="B5" i="14" s="1"/>
  <c r="B67" i="10"/>
  <c r="B22" i="11" s="1"/>
  <c r="D71" i="10"/>
  <c r="D26" i="11" s="1"/>
  <c r="D11" i="14" s="1"/>
  <c r="Q67" i="10"/>
  <c r="Q22" i="11" s="1"/>
  <c r="N65" i="10"/>
  <c r="N20" i="11" s="1"/>
  <c r="L27" i="11"/>
  <c r="L12" i="14" s="1"/>
  <c r="C16" i="8"/>
  <c r="C26" i="8" s="1"/>
  <c r="C33" i="8" s="1"/>
  <c r="R68" i="10"/>
  <c r="E67" i="10"/>
  <c r="E22" i="11" s="1"/>
  <c r="E7" i="14" s="1"/>
  <c r="Q25" i="11"/>
  <c r="G73" i="10"/>
  <c r="G28" i="11" s="1"/>
  <c r="G13" i="14" s="1"/>
  <c r="R19" i="11"/>
  <c r="D68" i="10"/>
  <c r="B29" i="11"/>
  <c r="B14" i="14" s="1"/>
  <c r="O68" i="10"/>
  <c r="C4" i="19"/>
  <c r="B73" i="10"/>
  <c r="B28" i="11" s="1"/>
  <c r="B13" i="14" s="1"/>
  <c r="D21" i="11"/>
  <c r="D6" i="14" s="1"/>
  <c r="U72" i="10"/>
  <c r="W72" i="10" s="1"/>
  <c r="R65" i="10"/>
  <c r="R20" i="11" s="1"/>
  <c r="L68" i="10"/>
  <c r="K16" i="8"/>
  <c r="K26" i="8" s="1"/>
  <c r="K33" i="8" s="1"/>
  <c r="O19" i="11"/>
  <c r="M71" i="10"/>
  <c r="M26" i="11" s="1"/>
  <c r="M11" i="14" s="1"/>
  <c r="K65" i="10"/>
  <c r="K20" i="11" s="1"/>
  <c r="K5" i="14" s="1"/>
  <c r="R29" i="11"/>
  <c r="P65" i="10"/>
  <c r="P20" i="11" s="1"/>
  <c r="N25" i="11"/>
  <c r="F25" i="11"/>
  <c r="F10" i="14" s="1"/>
  <c r="D16" i="7"/>
  <c r="D25" i="7" s="1"/>
  <c r="D33" i="7" s="1"/>
  <c r="G16" i="8"/>
  <c r="G26" i="8" s="1"/>
  <c r="G33" i="8" s="1"/>
  <c r="L4" i="19"/>
  <c r="C67" i="10"/>
  <c r="C22" i="11" s="1"/>
  <c r="C7" i="14" s="1"/>
  <c r="G21" i="11"/>
  <c r="G6" i="14" s="1"/>
  <c r="K19" i="11"/>
  <c r="K4" i="14" s="1"/>
  <c r="T67" i="10"/>
  <c r="T22" i="11" s="1"/>
  <c r="G71" i="10"/>
  <c r="G26" i="11" s="1"/>
  <c r="G11" i="14" s="1"/>
  <c r="B27" i="11"/>
  <c r="B12" i="14" s="1"/>
  <c r="F73" i="10"/>
  <c r="F28" i="11" s="1"/>
  <c r="F13" i="14" s="1"/>
  <c r="I65" i="10"/>
  <c r="I20" i="11" s="1"/>
  <c r="I5" i="14" s="1"/>
  <c r="N67" i="10"/>
  <c r="N22" i="11" s="1"/>
  <c r="C73" i="10"/>
  <c r="C28" i="11" s="1"/>
  <c r="C13" i="14" s="1"/>
  <c r="O71" i="10"/>
  <c r="O26" i="11" s="1"/>
  <c r="E68" i="10"/>
  <c r="Q73" i="10"/>
  <c r="Q28" i="11" s="1"/>
  <c r="J68" i="10"/>
  <c r="I73" i="10"/>
  <c r="I28" i="11" s="1"/>
  <c r="I13" i="14" s="1"/>
  <c r="K29" i="11"/>
  <c r="K14" i="14" s="1"/>
  <c r="G25" i="11"/>
  <c r="G10" i="14" s="1"/>
  <c r="N68" i="10"/>
  <c r="D4" i="19"/>
  <c r="S4" i="19"/>
  <c r="N3" i="19"/>
  <c r="N63" i="10"/>
  <c r="H4" i="19"/>
  <c r="M67" i="10"/>
  <c r="M22" i="11" s="1"/>
  <c r="M7" i="14" s="1"/>
  <c r="K67" i="10"/>
  <c r="K22" i="11" s="1"/>
  <c r="K7" i="14" s="1"/>
  <c r="H3" i="19"/>
  <c r="H63" i="10"/>
  <c r="L65" i="10"/>
  <c r="L20" i="11" s="1"/>
  <c r="L5" i="14" s="1"/>
  <c r="D29" i="11"/>
  <c r="D14" i="14" s="1"/>
  <c r="R16" i="8"/>
  <c r="R26" i="8" s="1"/>
  <c r="R33" i="8" s="1"/>
  <c r="Q68" i="10"/>
  <c r="B16" i="7"/>
  <c r="B25" i="7" s="1"/>
  <c r="H25" i="11"/>
  <c r="H10" i="14" s="1"/>
  <c r="L29" i="11"/>
  <c r="L14" i="14" s="1"/>
  <c r="H68" i="10"/>
  <c r="G19" i="11"/>
  <c r="G4" i="14" s="1"/>
  <c r="E16" i="7"/>
  <c r="E25" i="7" s="1"/>
  <c r="E33" i="7" s="1"/>
  <c r="F3" i="19"/>
  <c r="F63" i="10"/>
  <c r="U69" i="10"/>
  <c r="W69" i="10" s="1"/>
  <c r="K68" i="10"/>
  <c r="K4" i="19"/>
  <c r="E4" i="19"/>
  <c r="C65" i="10"/>
  <c r="C20" i="11" s="1"/>
  <c r="C5" i="14" s="1"/>
  <c r="M29" i="11"/>
  <c r="M14" i="14" s="1"/>
  <c r="I21" i="11"/>
  <c r="I6" i="14" s="1"/>
  <c r="I29" i="11"/>
  <c r="I14" i="14" s="1"/>
  <c r="Q3" i="19"/>
  <c r="Q63" i="10"/>
  <c r="P4" i="19"/>
  <c r="M4" i="19"/>
  <c r="J16" i="8"/>
  <c r="J26" i="8" s="1"/>
  <c r="J33" i="8" s="1"/>
  <c r="E21" i="11"/>
  <c r="E6" i="14" s="1"/>
  <c r="J21" i="11"/>
  <c r="J6" i="14" s="1"/>
  <c r="M16" i="7"/>
  <c r="M25" i="7" s="1"/>
  <c r="K3" i="19"/>
  <c r="K63" i="10"/>
  <c r="E3" i="19"/>
  <c r="E63" i="10"/>
  <c r="N4" i="19"/>
  <c r="C3" i="19"/>
  <c r="C63" i="10"/>
  <c r="J73" i="10"/>
  <c r="J28" i="11" s="1"/>
  <c r="J13" i="14" s="1"/>
  <c r="P19" i="11"/>
  <c r="O21" i="11"/>
  <c r="R71" i="10"/>
  <c r="R26" i="11" s="1"/>
  <c r="J65" i="10"/>
  <c r="J20" i="11" s="1"/>
  <c r="J5" i="14" s="1"/>
  <c r="T25" i="11"/>
  <c r="E29" i="11"/>
  <c r="E14" i="14" s="1"/>
  <c r="S29" i="11"/>
  <c r="K21" i="11"/>
  <c r="K6" i="14" s="1"/>
  <c r="J4" i="19"/>
  <c r="G29" i="11"/>
  <c r="G14" i="14" s="1"/>
  <c r="S16" i="8"/>
  <c r="S26" i="8" s="1"/>
  <c r="S33" i="8" s="1"/>
  <c r="F4" i="19"/>
  <c r="L71" i="10"/>
  <c r="L26" i="11" s="1"/>
  <c r="L11" i="14" s="1"/>
  <c r="B16" i="8"/>
  <c r="B26" i="8" s="1"/>
  <c r="B24" i="11" s="1"/>
  <c r="J19" i="11"/>
  <c r="J4" i="14" s="1"/>
  <c r="P68" i="10"/>
  <c r="Q65" i="10"/>
  <c r="Q20" i="11" s="1"/>
  <c r="S25" i="11"/>
  <c r="L73" i="10"/>
  <c r="L28" i="11" s="1"/>
  <c r="L13" i="14" s="1"/>
  <c r="F16" i="7"/>
  <c r="F25" i="7" s="1"/>
  <c r="F33" i="7" s="1"/>
  <c r="E73" i="10"/>
  <c r="E28" i="11" s="1"/>
  <c r="E13" i="14" s="1"/>
  <c r="T21" i="11"/>
  <c r="Q16" i="8"/>
  <c r="Q26" i="8" s="1"/>
  <c r="Q33" i="8" s="1"/>
  <c r="B19" i="11"/>
  <c r="L25" i="11"/>
  <c r="L10" i="14" s="1"/>
  <c r="F29" i="11"/>
  <c r="F14" i="14" s="1"/>
  <c r="I71" i="10"/>
  <c r="I26" i="11" s="1"/>
  <c r="I11" i="14" s="1"/>
  <c r="T68" i="10"/>
  <c r="O65" i="10"/>
  <c r="O20" i="11" s="1"/>
  <c r="N71" i="10"/>
  <c r="N26" i="11" s="1"/>
  <c r="J16" i="7"/>
  <c r="J25" i="7" s="1"/>
  <c r="O16" i="7"/>
  <c r="O25" i="7" s="1"/>
  <c r="D16" i="8"/>
  <c r="D26" i="8" s="1"/>
  <c r="D33" i="8" s="1"/>
  <c r="N16" i="8"/>
  <c r="N26" i="8" s="1"/>
  <c r="N33" i="8" s="1"/>
  <c r="M3" i="19"/>
  <c r="M63" i="10"/>
  <c r="R4" i="19"/>
  <c r="I16" i="7"/>
  <c r="I25" i="7" s="1"/>
  <c r="Q16" i="7"/>
  <c r="Q25" i="7" s="1"/>
  <c r="H21" i="11"/>
  <c r="H6" i="14" s="1"/>
  <c r="P25" i="11"/>
  <c r="S21" i="7"/>
  <c r="S16" i="7"/>
  <c r="S25" i="7" s="1"/>
  <c r="R3" i="19"/>
  <c r="R63" i="10"/>
  <c r="S65" i="10"/>
  <c r="S20" i="11" s="1"/>
  <c r="R73" i="10"/>
  <c r="R28" i="11" s="1"/>
  <c r="G4" i="19"/>
  <c r="I25" i="11"/>
  <c r="I10" i="14" s="1"/>
  <c r="S73" i="10"/>
  <c r="S28" i="11" s="1"/>
  <c r="C21" i="11"/>
  <c r="C6" i="14" s="1"/>
  <c r="N19" i="11"/>
  <c r="B4" i="19"/>
  <c r="N16" i="7"/>
  <c r="N25" i="7" s="1"/>
  <c r="L16" i="7"/>
  <c r="L25" i="7" s="1"/>
  <c r="F19" i="11"/>
  <c r="F4" i="14" s="1"/>
  <c r="T29" i="11"/>
  <c r="I19" i="11"/>
  <c r="I4" i="14" s="1"/>
  <c r="H71" i="10"/>
  <c r="H26" i="11" s="1"/>
  <c r="H11" i="14" s="1"/>
  <c r="I4" i="19"/>
  <c r="B6" i="19"/>
  <c r="N20" i="29" s="1"/>
  <c r="U33" i="9"/>
  <c r="W33" i="9" s="1"/>
  <c r="F67" i="10"/>
  <c r="S71" i="10"/>
  <c r="S26" i="11" s="1"/>
  <c r="C25" i="11"/>
  <c r="C10" i="14" s="1"/>
  <c r="R16" i="7"/>
  <c r="R25" i="7" s="1"/>
  <c r="O73" i="10"/>
  <c r="O28" i="11" s="1"/>
  <c r="L21" i="11"/>
  <c r="L6" i="14" s="1"/>
  <c r="C71" i="10"/>
  <c r="C26" i="11" s="1"/>
  <c r="C11" i="14" s="1"/>
  <c r="T3" i="19"/>
  <c r="T63" i="10"/>
  <c r="H65" i="10"/>
  <c r="H20" i="11" s="1"/>
  <c r="H5" i="14" s="1"/>
  <c r="G67" i="10"/>
  <c r="G22" i="11" s="1"/>
  <c r="G7" i="14" s="1"/>
  <c r="J71" i="10"/>
  <c r="J26" i="11" s="1"/>
  <c r="J11" i="14" s="1"/>
  <c r="G3" i="19"/>
  <c r="G63" i="10"/>
  <c r="B3" i="19"/>
  <c r="B63" i="10"/>
  <c r="N29" i="11"/>
  <c r="P29" i="11"/>
  <c r="O67" i="10"/>
  <c r="O22" i="11" s="1"/>
  <c r="T16" i="7"/>
  <c r="T25" i="7" s="1"/>
  <c r="D19" i="11"/>
  <c r="D4" i="14" s="1"/>
  <c r="C68" i="10"/>
  <c r="D65" i="10"/>
  <c r="D20" i="11" s="1"/>
  <c r="D5" i="14" s="1"/>
  <c r="O3" i="19"/>
  <c r="O63" i="10"/>
  <c r="C16" i="7"/>
  <c r="C25" i="7" s="1"/>
  <c r="Q19" i="11"/>
  <c r="I3" i="19"/>
  <c r="I63" i="10"/>
  <c r="G16" i="7"/>
  <c r="G25" i="7" s="1"/>
  <c r="H16" i="7"/>
  <c r="H25" i="7" s="1"/>
  <c r="J27" i="11"/>
  <c r="J12" i="14" s="1"/>
  <c r="O16" i="8"/>
  <c r="O26" i="8" s="1"/>
  <c r="O24" i="11" s="1"/>
  <c r="J3" i="19"/>
  <c r="J63" i="10"/>
  <c r="U66" i="10"/>
  <c r="W66" i="10" s="1"/>
  <c r="S67" i="10"/>
  <c r="S22" i="11" s="1"/>
  <c r="F16" i="8"/>
  <c r="F26" i="8" s="1"/>
  <c r="F33" i="8" s="1"/>
  <c r="G65" i="10"/>
  <c r="G20" i="11" s="1"/>
  <c r="G5" i="14" s="1"/>
  <c r="H29" i="11"/>
  <c r="H14" i="14" s="1"/>
  <c r="K16" i="7"/>
  <c r="K25" i="7" s="1"/>
  <c r="P71" i="10"/>
  <c r="P26" i="11" s="1"/>
  <c r="T4" i="19"/>
  <c r="O29" i="11"/>
  <c r="E16" i="8"/>
  <c r="E26" i="8" s="1"/>
  <c r="E33" i="8" s="1"/>
  <c r="L3" i="19"/>
  <c r="L63" i="10"/>
  <c r="M25" i="11"/>
  <c r="M10" i="14" s="1"/>
  <c r="P16" i="8"/>
  <c r="P26" i="8" s="1"/>
  <c r="P33" i="8" s="1"/>
  <c r="P16" i="7"/>
  <c r="P25" i="7" s="1"/>
  <c r="T16" i="8"/>
  <c r="T26" i="8" s="1"/>
  <c r="T33" i="8" s="1"/>
  <c r="C19" i="11"/>
  <c r="C4" i="14" s="1"/>
  <c r="S3" i="19"/>
  <c r="S63" i="10"/>
  <c r="R25" i="11"/>
  <c r="P21" i="11"/>
  <c r="B21" i="11"/>
  <c r="Q71" i="10"/>
  <c r="Q26" i="11" s="1"/>
  <c r="Q4" i="19"/>
  <c r="J25" i="11"/>
  <c r="J10" i="14" s="1"/>
  <c r="D3" i="19"/>
  <c r="D63" i="10"/>
  <c r="S21" i="11"/>
  <c r="O4" i="19"/>
  <c r="I67" i="10"/>
  <c r="I22" i="11" s="1"/>
  <c r="I7" i="14" s="1"/>
  <c r="M73" i="10"/>
  <c r="M28" i="11" s="1"/>
  <c r="M13" i="14" s="1"/>
  <c r="I16" i="8"/>
  <c r="I26" i="8" s="1"/>
  <c r="I33" i="8" s="1"/>
  <c r="M19" i="11"/>
  <c r="M4" i="14" s="1"/>
  <c r="P3" i="19"/>
  <c r="P63" i="10"/>
  <c r="Q29" i="11"/>
  <c r="H16" i="8"/>
  <c r="H26" i="8" s="1"/>
  <c r="H33" i="8" s="1"/>
  <c r="S23" i="11" l="1"/>
  <c r="G23" i="11"/>
  <c r="G8" i="14" s="1"/>
  <c r="K23" i="11"/>
  <c r="K8" i="14" s="1"/>
  <c r="I23" i="11"/>
  <c r="I8" i="14" s="1"/>
  <c r="T23" i="11"/>
  <c r="M24" i="11"/>
  <c r="M9" i="14" s="1"/>
  <c r="L23" i="11"/>
  <c r="L8" i="14" s="1"/>
  <c r="M23" i="11"/>
  <c r="M8" i="14" s="1"/>
  <c r="L24" i="11"/>
  <c r="L9" i="14" s="1"/>
  <c r="S24" i="11"/>
  <c r="F23" i="11"/>
  <c r="F8" i="14" s="1"/>
  <c r="I33" i="7"/>
  <c r="K24" i="11"/>
  <c r="K9" i="14" s="1"/>
  <c r="J23" i="11"/>
  <c r="J8" i="14" s="1"/>
  <c r="H23" i="11"/>
  <c r="H8" i="14" s="1"/>
  <c r="R23" i="11"/>
  <c r="Q23" i="11"/>
  <c r="E23" i="11"/>
  <c r="E8" i="14" s="1"/>
  <c r="U70" i="10"/>
  <c r="W70" i="10" s="1"/>
  <c r="C24" i="11"/>
  <c r="C9" i="14" s="1"/>
  <c r="U25" i="11"/>
  <c r="W25" i="11" s="1"/>
  <c r="P24" i="11"/>
  <c r="D24" i="11"/>
  <c r="D9" i="14" s="1"/>
  <c r="G24" i="11"/>
  <c r="G9" i="14" s="1"/>
  <c r="U73" i="10"/>
  <c r="W73" i="10" s="1"/>
  <c r="M33" i="7"/>
  <c r="U68" i="10"/>
  <c r="W68" i="10" s="1"/>
  <c r="I24" i="11"/>
  <c r="I9" i="14" s="1"/>
  <c r="J24" i="11"/>
  <c r="J9" i="14" s="1"/>
  <c r="D23" i="11"/>
  <c r="D8" i="14" s="1"/>
  <c r="C23" i="11"/>
  <c r="C8" i="14" s="1"/>
  <c r="U65" i="10"/>
  <c r="W65" i="10" s="1"/>
  <c r="P23" i="11"/>
  <c r="U67" i="10"/>
  <c r="W67" i="10" s="1"/>
  <c r="Q24" i="11"/>
  <c r="B33" i="8"/>
  <c r="R24" i="11"/>
  <c r="B9" i="14"/>
  <c r="P5" i="19"/>
  <c r="P18" i="11"/>
  <c r="D5" i="19"/>
  <c r="D18" i="11"/>
  <c r="D3" i="14" s="1"/>
  <c r="H24" i="11"/>
  <c r="H9" i="14" s="1"/>
  <c r="N23" i="11"/>
  <c r="N33" i="7"/>
  <c r="S19" i="11"/>
  <c r="U19" i="11" s="1"/>
  <c r="W19" i="11" s="1"/>
  <c r="S33" i="7"/>
  <c r="O23" i="11"/>
  <c r="O33" i="7"/>
  <c r="P33" i="7"/>
  <c r="Q5" i="19"/>
  <c r="Q18" i="11"/>
  <c r="O33" i="8"/>
  <c r="J5" i="19"/>
  <c r="J18" i="11"/>
  <c r="J3" i="14" s="1"/>
  <c r="G33" i="7"/>
  <c r="T33" i="7"/>
  <c r="N18" i="29"/>
  <c r="L33" i="7"/>
  <c r="U28" i="11"/>
  <c r="W28" i="11" s="1"/>
  <c r="U20" i="11"/>
  <c r="W20" i="11" s="1"/>
  <c r="U29" i="11"/>
  <c r="W29" i="11" s="1"/>
  <c r="F22" i="11"/>
  <c r="F7" i="14" s="1"/>
  <c r="U71" i="10"/>
  <c r="W71" i="10" s="1"/>
  <c r="N5" i="19"/>
  <c r="N18" i="11"/>
  <c r="S5" i="19"/>
  <c r="S18" i="11"/>
  <c r="I5" i="19"/>
  <c r="I18" i="11"/>
  <c r="I3" i="14" s="1"/>
  <c r="B5" i="19"/>
  <c r="U63" i="10"/>
  <c r="W63" i="10" s="1"/>
  <c r="B18" i="11"/>
  <c r="B7" i="14"/>
  <c r="T24" i="11"/>
  <c r="F5" i="19"/>
  <c r="F18" i="11"/>
  <c r="F3" i="14" s="1"/>
  <c r="J33" i="7"/>
  <c r="L5" i="19"/>
  <c r="L18" i="11"/>
  <c r="L3" i="14" s="1"/>
  <c r="N19" i="29"/>
  <c r="E24" i="11"/>
  <c r="E9" i="14" s="1"/>
  <c r="M5" i="19"/>
  <c r="M18" i="11"/>
  <c r="M3" i="14" s="1"/>
  <c r="R33" i="7"/>
  <c r="E5" i="19"/>
  <c r="E18" i="11"/>
  <c r="E3" i="14" s="1"/>
  <c r="F24" i="11"/>
  <c r="F9" i="14" s="1"/>
  <c r="B23" i="11"/>
  <c r="B33" i="7"/>
  <c r="H5" i="19"/>
  <c r="H18" i="11"/>
  <c r="H3" i="14" s="1"/>
  <c r="U27" i="11"/>
  <c r="W27" i="11" s="1"/>
  <c r="M20" i="30"/>
  <c r="E20" i="30"/>
  <c r="J20" i="30"/>
  <c r="B20" i="30"/>
  <c r="I20" i="30"/>
  <c r="H20" i="30"/>
  <c r="G20" i="30"/>
  <c r="L20" i="30"/>
  <c r="K20" i="30"/>
  <c r="F20" i="30"/>
  <c r="D20" i="30"/>
  <c r="C20" i="30"/>
  <c r="C20" i="29"/>
  <c r="B20" i="29"/>
  <c r="I20" i="29"/>
  <c r="G20" i="29"/>
  <c r="F20" i="29"/>
  <c r="H20" i="29"/>
  <c r="E20" i="29"/>
  <c r="D20" i="29"/>
  <c r="C5" i="19"/>
  <c r="C18" i="11"/>
  <c r="C3" i="14" s="1"/>
  <c r="R5" i="19"/>
  <c r="R18" i="11"/>
  <c r="B4" i="14"/>
  <c r="B6" i="14"/>
  <c r="U21" i="11"/>
  <c r="W21" i="11" s="1"/>
  <c r="G5" i="19"/>
  <c r="G18" i="11"/>
  <c r="G3" i="14" s="1"/>
  <c r="K33" i="7"/>
  <c r="N24" i="11"/>
  <c r="K5" i="19"/>
  <c r="K18" i="11"/>
  <c r="K3" i="14" s="1"/>
  <c r="C33" i="7"/>
  <c r="O5" i="19"/>
  <c r="O18" i="11"/>
  <c r="T5" i="19"/>
  <c r="T18" i="11"/>
  <c r="B11" i="14"/>
  <c r="U26" i="11"/>
  <c r="W26" i="11" s="1"/>
  <c r="H33" i="7"/>
  <c r="Q33" i="7"/>
  <c r="N20" i="30" l="1"/>
  <c r="J20" i="29"/>
  <c r="K20" i="29" s="1"/>
  <c r="U22" i="11"/>
  <c r="W22" i="11" s="1"/>
  <c r="G4" i="17" a="1"/>
  <c r="G4" i="17" s="1"/>
  <c r="G7" i="17" a="1"/>
  <c r="G7" i="17" s="1"/>
  <c r="G9" i="17" a="1"/>
  <c r="G9" i="17" s="1"/>
  <c r="G10" i="17" a="1"/>
  <c r="G10" i="17" s="1"/>
  <c r="G12" i="17" a="1"/>
  <c r="G12" i="17" s="1"/>
  <c r="G13" i="17" a="1"/>
  <c r="G13" i="17" s="1"/>
  <c r="G3" i="17" a="1"/>
  <c r="G3" i="17" s="1"/>
  <c r="G5" i="17" a="1"/>
  <c r="G5" i="17" s="1"/>
  <c r="G14" i="17" a="1"/>
  <c r="G14" i="17" s="1"/>
  <c r="G6" i="17" a="1"/>
  <c r="G6" i="17" s="1"/>
  <c r="G11" i="17" a="1"/>
  <c r="G11" i="17" s="1"/>
  <c r="G8" i="17" a="1"/>
  <c r="G8" i="17" s="1"/>
  <c r="U23" i="11"/>
  <c r="W23" i="11" s="1"/>
  <c r="B8" i="14"/>
  <c r="K19" i="30"/>
  <c r="C19" i="30"/>
  <c r="H19" i="30"/>
  <c r="G19" i="30"/>
  <c r="F19" i="30"/>
  <c r="M19" i="30"/>
  <c r="E19" i="30"/>
  <c r="I19" i="30"/>
  <c r="D19" i="30"/>
  <c r="B19" i="30"/>
  <c r="L19" i="30"/>
  <c r="J19" i="30"/>
  <c r="G19" i="29"/>
  <c r="F19" i="29"/>
  <c r="E19" i="29"/>
  <c r="C19" i="29"/>
  <c r="B19" i="29"/>
  <c r="H19" i="29"/>
  <c r="D19" i="29"/>
  <c r="I19" i="29"/>
  <c r="B3" i="17" a="1"/>
  <c r="B3" i="17" s="1"/>
  <c r="B5" i="17" a="1"/>
  <c r="B5" i="17" s="1"/>
  <c r="B11" i="17" a="1"/>
  <c r="B11" i="17" s="1"/>
  <c r="B13" i="17" a="1"/>
  <c r="B13" i="17" s="1"/>
  <c r="B8" i="17" a="1"/>
  <c r="B8" i="17" s="1"/>
  <c r="B7" i="17" a="1"/>
  <c r="B7" i="17" s="1"/>
  <c r="B14" i="17" a="1"/>
  <c r="B14" i="17" s="1"/>
  <c r="B6" i="17" a="1"/>
  <c r="B6" i="17" s="1"/>
  <c r="B10" i="17" a="1"/>
  <c r="B10" i="17" s="1"/>
  <c r="B12" i="17" a="1"/>
  <c r="B12" i="17" s="1"/>
  <c r="B4" i="17" a="1"/>
  <c r="B4" i="17" s="1"/>
  <c r="B9" i="17" a="1"/>
  <c r="B9" i="17" s="1"/>
  <c r="I18" i="30"/>
  <c r="F18" i="30"/>
  <c r="M18" i="30"/>
  <c r="E18" i="30"/>
  <c r="L18" i="30"/>
  <c r="D18" i="30"/>
  <c r="K18" i="30"/>
  <c r="C18" i="30"/>
  <c r="J18" i="30"/>
  <c r="H18" i="30"/>
  <c r="G18" i="30"/>
  <c r="B18" i="30"/>
  <c r="C18" i="29"/>
  <c r="B18" i="29"/>
  <c r="I18" i="29"/>
  <c r="G18" i="29"/>
  <c r="H18" i="29"/>
  <c r="F18" i="29"/>
  <c r="D18" i="29"/>
  <c r="E18" i="29"/>
  <c r="D9" i="15" a="1"/>
  <c r="D9" i="15" s="1"/>
  <c r="D3" i="15" a="1"/>
  <c r="D3" i="15" s="1"/>
  <c r="D7" i="15" a="1"/>
  <c r="D7" i="15" s="1"/>
  <c r="D8" i="15" a="1"/>
  <c r="D8" i="15" s="1"/>
  <c r="D11" i="15" a="1"/>
  <c r="D11" i="15" s="1"/>
  <c r="D10" i="15" a="1"/>
  <c r="D10" i="15" s="1"/>
  <c r="D14" i="15" a="1"/>
  <c r="D14" i="15" s="1"/>
  <c r="D4" i="15" a="1"/>
  <c r="D4" i="15" s="1"/>
  <c r="D6" i="15" a="1"/>
  <c r="D6" i="15" s="1"/>
  <c r="D13" i="15" a="1"/>
  <c r="D13" i="15" s="1"/>
  <c r="D12" i="15" a="1"/>
  <c r="D12" i="15" s="1"/>
  <c r="D5" i="15" a="1"/>
  <c r="D5" i="15" s="1"/>
  <c r="F5" i="17" a="1"/>
  <c r="F5" i="17" s="1"/>
  <c r="F9" i="17" a="1"/>
  <c r="F9" i="17" s="1"/>
  <c r="F12" i="17" a="1"/>
  <c r="F12" i="17" s="1"/>
  <c r="F13" i="17" a="1"/>
  <c r="F13" i="17" s="1"/>
  <c r="F3" i="17" a="1"/>
  <c r="F3" i="17" s="1"/>
  <c r="F7" i="17" a="1"/>
  <c r="F7" i="17" s="1"/>
  <c r="F10" i="17" a="1"/>
  <c r="F10" i="17" s="1"/>
  <c r="F14" i="17" a="1"/>
  <c r="F14" i="17" s="1"/>
  <c r="F11" i="17" a="1"/>
  <c r="F11" i="17" s="1"/>
  <c r="F8" i="17" a="1"/>
  <c r="F8" i="17" s="1"/>
  <c r="F4" i="17" a="1"/>
  <c r="F4" i="17" s="1"/>
  <c r="F6" i="17" a="1"/>
  <c r="F6" i="17" s="1"/>
  <c r="L12" i="15" a="1"/>
  <c r="L12" i="15" s="1"/>
  <c r="L14" i="15" a="1"/>
  <c r="L14" i="15" s="1"/>
  <c r="L7" i="15" a="1"/>
  <c r="L7" i="15" s="1"/>
  <c r="L9" i="15" a="1"/>
  <c r="L9" i="15" s="1"/>
  <c r="L6" i="15" a="1"/>
  <c r="L6" i="15" s="1"/>
  <c r="L5" i="15" a="1"/>
  <c r="L5" i="15" s="1"/>
  <c r="L8" i="15" a="1"/>
  <c r="L8" i="15" s="1"/>
  <c r="L13" i="15" a="1"/>
  <c r="L13" i="15" s="1"/>
  <c r="L11" i="15" a="1"/>
  <c r="L11" i="15" s="1"/>
  <c r="L3" i="15" a="1"/>
  <c r="L3" i="15" s="1"/>
  <c r="L4" i="15" a="1"/>
  <c r="L4" i="15" s="1"/>
  <c r="L10" i="15" a="1"/>
  <c r="L10" i="15" s="1"/>
  <c r="B3" i="14"/>
  <c r="U18" i="11"/>
  <c r="B32" i="11"/>
  <c r="B9" i="20" s="1"/>
  <c r="H14" i="17" a="1"/>
  <c r="H14" i="17" s="1"/>
  <c r="H9" i="17" a="1"/>
  <c r="H9" i="17" s="1"/>
  <c r="H6" i="17" a="1"/>
  <c r="H6" i="17" s="1"/>
  <c r="H4" i="17" a="1"/>
  <c r="H4" i="17" s="1"/>
  <c r="H11" i="17" a="1"/>
  <c r="H11" i="17" s="1"/>
  <c r="H12" i="17" a="1"/>
  <c r="H12" i="17" s="1"/>
  <c r="H5" i="17" a="1"/>
  <c r="H5" i="17" s="1"/>
  <c r="H3" i="17" a="1"/>
  <c r="H3" i="17" s="1"/>
  <c r="H10" i="17" a="1"/>
  <c r="H10" i="17" s="1"/>
  <c r="H8" i="17" a="1"/>
  <c r="H8" i="17" s="1"/>
  <c r="H7" i="17" a="1"/>
  <c r="H7" i="17" s="1"/>
  <c r="H13" i="17" a="1"/>
  <c r="H13" i="17" s="1"/>
  <c r="E13" i="15" a="1"/>
  <c r="E13" i="15" s="1"/>
  <c r="E7" i="15" a="1"/>
  <c r="E7" i="15" s="1"/>
  <c r="E5" i="15" a="1"/>
  <c r="E5" i="15" s="1"/>
  <c r="E6" i="15" a="1"/>
  <c r="E6" i="15" s="1"/>
  <c r="E9" i="15" a="1"/>
  <c r="E9" i="15" s="1"/>
  <c r="E11" i="15" a="1"/>
  <c r="E11" i="15" s="1"/>
  <c r="E8" i="15" a="1"/>
  <c r="E8" i="15" s="1"/>
  <c r="E14" i="15" a="1"/>
  <c r="E14" i="15" s="1"/>
  <c r="E4" i="15" a="1"/>
  <c r="E4" i="15" s="1"/>
  <c r="E10" i="15" a="1"/>
  <c r="E10" i="15" s="1"/>
  <c r="E12" i="15" a="1"/>
  <c r="E12" i="15" s="1"/>
  <c r="E3" i="15" a="1"/>
  <c r="E3" i="15" s="1"/>
  <c r="D7" i="17" a="1"/>
  <c r="D7" i="17" s="1"/>
  <c r="D5" i="17" a="1"/>
  <c r="D5" i="17" s="1"/>
  <c r="D11" i="17" a="1"/>
  <c r="D11" i="17" s="1"/>
  <c r="D13" i="17" a="1"/>
  <c r="D13" i="17" s="1"/>
  <c r="D3" i="17" a="1"/>
  <c r="D3" i="17" s="1"/>
  <c r="D6" i="17" a="1"/>
  <c r="D6" i="17" s="1"/>
  <c r="D4" i="17" a="1"/>
  <c r="D4" i="17" s="1"/>
  <c r="D8" i="17" a="1"/>
  <c r="D8" i="17" s="1"/>
  <c r="D14" i="17" a="1"/>
  <c r="D14" i="17" s="1"/>
  <c r="D9" i="17" a="1"/>
  <c r="D9" i="17" s="1"/>
  <c r="D10" i="17" a="1"/>
  <c r="D10" i="17" s="1"/>
  <c r="D12" i="17" a="1"/>
  <c r="D12" i="17" s="1"/>
  <c r="K6" i="15" a="1"/>
  <c r="K6" i="15" s="1"/>
  <c r="K11" i="15" a="1"/>
  <c r="K11" i="15" s="1"/>
  <c r="K10" i="15" a="1"/>
  <c r="K10" i="15" s="1"/>
  <c r="K14" i="15" a="1"/>
  <c r="K14" i="15" s="1"/>
  <c r="K4" i="15" a="1"/>
  <c r="K4" i="15" s="1"/>
  <c r="K8" i="15" a="1"/>
  <c r="K8" i="15" s="1"/>
  <c r="K5" i="15" a="1"/>
  <c r="K5" i="15" s="1"/>
  <c r="K12" i="15" a="1"/>
  <c r="K12" i="15" s="1"/>
  <c r="K13" i="15" a="1"/>
  <c r="K13" i="15" s="1"/>
  <c r="K3" i="15" a="1"/>
  <c r="K3" i="15" s="1"/>
  <c r="K7" i="15" a="1"/>
  <c r="K7" i="15" s="1"/>
  <c r="K9" i="15" a="1"/>
  <c r="K9" i="15" s="1"/>
  <c r="G6" i="15" a="1"/>
  <c r="G6" i="15" s="1"/>
  <c r="G11" i="15" a="1"/>
  <c r="G11" i="15" s="1"/>
  <c r="G10" i="15" a="1"/>
  <c r="G10" i="15" s="1"/>
  <c r="G4" i="15" a="1"/>
  <c r="G4" i="15" s="1"/>
  <c r="G8" i="15" a="1"/>
  <c r="G8" i="15" s="1"/>
  <c r="G9" i="15" a="1"/>
  <c r="G9" i="15" s="1"/>
  <c r="G13" i="15" a="1"/>
  <c r="G13" i="15" s="1"/>
  <c r="G14" i="15" a="1"/>
  <c r="G14" i="15" s="1"/>
  <c r="G5" i="15" a="1"/>
  <c r="G5" i="15" s="1"/>
  <c r="G3" i="15" a="1"/>
  <c r="G3" i="15" s="1"/>
  <c r="G7" i="15" a="1"/>
  <c r="G7" i="15" s="1"/>
  <c r="G12" i="15" a="1"/>
  <c r="G12" i="15" s="1"/>
  <c r="C13" i="15" a="1"/>
  <c r="C13" i="15" s="1"/>
  <c r="C6" i="15" a="1"/>
  <c r="C6" i="15" s="1"/>
  <c r="C12" i="15" a="1"/>
  <c r="C12" i="15" s="1"/>
  <c r="C4" i="15" a="1"/>
  <c r="C4" i="15" s="1"/>
  <c r="C8" i="15" a="1"/>
  <c r="C8" i="15" s="1"/>
  <c r="C14" i="15" a="1"/>
  <c r="C14" i="15" s="1"/>
  <c r="C9" i="15" a="1"/>
  <c r="C9" i="15" s="1"/>
  <c r="C10" i="15" a="1"/>
  <c r="C10" i="15" s="1"/>
  <c r="C3" i="15" a="1"/>
  <c r="C3" i="15" s="1"/>
  <c r="C7" i="15" a="1"/>
  <c r="C7" i="15" s="1"/>
  <c r="C5" i="15" a="1"/>
  <c r="C5" i="15" s="1"/>
  <c r="C11" i="15" a="1"/>
  <c r="C11" i="15" s="1"/>
  <c r="J3" i="15" a="1"/>
  <c r="J3" i="15" s="1"/>
  <c r="J7" i="15" a="1"/>
  <c r="J7" i="15" s="1"/>
  <c r="J13" i="15" a="1"/>
  <c r="J13" i="15" s="1"/>
  <c r="J9" i="15" a="1"/>
  <c r="J9" i="15" s="1"/>
  <c r="J5" i="15" a="1"/>
  <c r="J5" i="15" s="1"/>
  <c r="J14" i="15" a="1"/>
  <c r="J14" i="15" s="1"/>
  <c r="J6" i="15" a="1"/>
  <c r="J6" i="15" s="1"/>
  <c r="J12" i="15" a="1"/>
  <c r="J12" i="15" s="1"/>
  <c r="J4" i="15" a="1"/>
  <c r="J4" i="15" s="1"/>
  <c r="J8" i="15" a="1"/>
  <c r="J8" i="15" s="1"/>
  <c r="J11" i="15" a="1"/>
  <c r="J11" i="15" s="1"/>
  <c r="J10" i="15" a="1"/>
  <c r="J10" i="15" s="1"/>
  <c r="E8" i="17" a="1"/>
  <c r="E8" i="17" s="1"/>
  <c r="A6" i="26" s="1"/>
  <c r="E11" i="17" a="1"/>
  <c r="E11" i="17" s="1"/>
  <c r="A9" i="26" s="1"/>
  <c r="E3" i="17" a="1"/>
  <c r="E3" i="17" s="1"/>
  <c r="A1" i="26" s="1"/>
  <c r="E5" i="17" a="1"/>
  <c r="E5" i="17" s="1"/>
  <c r="A3" i="26" s="1"/>
  <c r="E13" i="17" a="1"/>
  <c r="E13" i="17" s="1"/>
  <c r="A11" i="26" s="1"/>
  <c r="E7" i="17" a="1"/>
  <c r="E7" i="17" s="1"/>
  <c r="A5" i="26" s="1"/>
  <c r="E6" i="17" a="1"/>
  <c r="E6" i="17" s="1"/>
  <c r="A4" i="26" s="1"/>
  <c r="E9" i="17" a="1"/>
  <c r="E9" i="17" s="1"/>
  <c r="A7" i="26" s="1"/>
  <c r="E10" i="17" a="1"/>
  <c r="E10" i="17" s="1"/>
  <c r="A8" i="26" s="1"/>
  <c r="E4" i="17" a="1"/>
  <c r="E4" i="17" s="1"/>
  <c r="A2" i="26" s="1"/>
  <c r="E14" i="17" a="1"/>
  <c r="E14" i="17" s="1"/>
  <c r="A12" i="26" s="1"/>
  <c r="E12" i="17" a="1"/>
  <c r="E12" i="17" s="1"/>
  <c r="A10" i="26" s="1"/>
  <c r="C3" i="17" a="1"/>
  <c r="C3" i="17" s="1"/>
  <c r="C8" i="17" a="1"/>
  <c r="C8" i="17" s="1"/>
  <c r="C13" i="17" a="1"/>
  <c r="C13" i="17" s="1"/>
  <c r="C4" i="17" a="1"/>
  <c r="C4" i="17" s="1"/>
  <c r="C7" i="17" a="1"/>
  <c r="C7" i="17" s="1"/>
  <c r="C9" i="17" a="1"/>
  <c r="C9" i="17" s="1"/>
  <c r="C14" i="17" a="1"/>
  <c r="C14" i="17" s="1"/>
  <c r="C12" i="17" a="1"/>
  <c r="C12" i="17" s="1"/>
  <c r="C5" i="17" a="1"/>
  <c r="C5" i="17" s="1"/>
  <c r="C11" i="17" a="1"/>
  <c r="C11" i="17" s="1"/>
  <c r="C10" i="17" a="1"/>
  <c r="C10" i="17" s="1"/>
  <c r="C6" i="17" a="1"/>
  <c r="C6" i="17" s="1"/>
  <c r="F5" i="15" a="1"/>
  <c r="F5" i="15" s="1"/>
  <c r="F8" i="15" a="1"/>
  <c r="F8" i="15" s="1"/>
  <c r="F7" i="15" a="1"/>
  <c r="F7" i="15" s="1"/>
  <c r="F12" i="15" a="1"/>
  <c r="F12" i="15" s="1"/>
  <c r="F10" i="15" a="1"/>
  <c r="F10" i="15" s="1"/>
  <c r="F9" i="15" a="1"/>
  <c r="F9" i="15" s="1"/>
  <c r="F4" i="15" a="1"/>
  <c r="F4" i="15" s="1"/>
  <c r="F3" i="15" a="1"/>
  <c r="F3" i="15" s="1"/>
  <c r="F11" i="15" a="1"/>
  <c r="F11" i="15" s="1"/>
  <c r="F14" i="15" a="1"/>
  <c r="F14" i="15" s="1"/>
  <c r="F6" i="15" a="1"/>
  <c r="F6" i="15" s="1"/>
  <c r="F13" i="15" a="1"/>
  <c r="F13" i="15" s="1"/>
  <c r="I11" i="15" a="1"/>
  <c r="I11" i="15" s="1"/>
  <c r="I10" i="15" a="1"/>
  <c r="I10" i="15" s="1"/>
  <c r="I12" i="15" a="1"/>
  <c r="I12" i="15" s="1"/>
  <c r="I5" i="15" a="1"/>
  <c r="I5" i="15" s="1"/>
  <c r="I8" i="15" a="1"/>
  <c r="I8" i="15" s="1"/>
  <c r="I3" i="15" a="1"/>
  <c r="I3" i="15" s="1"/>
  <c r="I13" i="15" a="1"/>
  <c r="I13" i="15" s="1"/>
  <c r="I9" i="15" a="1"/>
  <c r="I9" i="15" s="1"/>
  <c r="I4" i="15" a="1"/>
  <c r="I4" i="15" s="1"/>
  <c r="I14" i="15" a="1"/>
  <c r="I14" i="15" s="1"/>
  <c r="I7" i="15" a="1"/>
  <c r="I7" i="15" s="1"/>
  <c r="I6" i="15" a="1"/>
  <c r="I6" i="15" s="1"/>
  <c r="U24" i="11"/>
  <c r="W24" i="11" s="1"/>
  <c r="H14" i="15" a="1"/>
  <c r="H14" i="15" s="1"/>
  <c r="H5" i="15" a="1"/>
  <c r="H5" i="15" s="1"/>
  <c r="H4" i="15" a="1"/>
  <c r="H4" i="15" s="1"/>
  <c r="H7" i="15" a="1"/>
  <c r="H7" i="15" s="1"/>
  <c r="H6" i="15" a="1"/>
  <c r="H6" i="15" s="1"/>
  <c r="H3" i="15" a="1"/>
  <c r="H3" i="15" s="1"/>
  <c r="H10" i="15" a="1"/>
  <c r="H10" i="15" s="1"/>
  <c r="H11" i="15" a="1"/>
  <c r="H11" i="15" s="1"/>
  <c r="H12" i="15" a="1"/>
  <c r="H12" i="15" s="1"/>
  <c r="H13" i="15" a="1"/>
  <c r="H13" i="15" s="1"/>
  <c r="H8" i="15" a="1"/>
  <c r="H8" i="15" s="1"/>
  <c r="H9" i="15" a="1"/>
  <c r="H9" i="15" s="1"/>
  <c r="M6" i="15" a="1"/>
  <c r="M6" i="15" s="1"/>
  <c r="M5" i="15" a="1"/>
  <c r="M5" i="15" s="1"/>
  <c r="M8" i="15" a="1"/>
  <c r="M8" i="15" s="1"/>
  <c r="M11" i="15" a="1"/>
  <c r="M11" i="15" s="1"/>
  <c r="M10" i="15" a="1"/>
  <c r="M10" i="15" s="1"/>
  <c r="M14" i="15" a="1"/>
  <c r="M14" i="15" s="1"/>
  <c r="M4" i="15" a="1"/>
  <c r="M4" i="15" s="1"/>
  <c r="M3" i="15" a="1"/>
  <c r="M3" i="15" s="1"/>
  <c r="M12" i="15" a="1"/>
  <c r="M12" i="15" s="1"/>
  <c r="M7" i="15" a="1"/>
  <c r="M7" i="15" s="1"/>
  <c r="M9" i="15" a="1"/>
  <c r="M9" i="15" s="1"/>
  <c r="M13" i="15" a="1"/>
  <c r="M13" i="15" s="1"/>
  <c r="J18" i="29" l="1"/>
  <c r="K18" i="29" s="1"/>
  <c r="I13" i="17"/>
  <c r="A11" i="22" s="1"/>
  <c r="J19" i="29"/>
  <c r="K19" i="29" s="1"/>
  <c r="I4" i="17"/>
  <c r="A2" i="22" s="1"/>
  <c r="N18" i="30"/>
  <c r="N19" i="30"/>
  <c r="L8" i="16"/>
  <c r="K6" i="21" s="1"/>
  <c r="L8" i="18"/>
  <c r="D14" i="18"/>
  <c r="D14" i="16"/>
  <c r="C12" i="21" s="1"/>
  <c r="I12" i="17"/>
  <c r="A10" i="22" s="1"/>
  <c r="I5" i="17"/>
  <c r="A3" i="22" s="1"/>
  <c r="H6" i="18"/>
  <c r="H6" i="16"/>
  <c r="G4" i="21" s="1"/>
  <c r="F9" i="18"/>
  <c r="F9" i="16"/>
  <c r="E7" i="21" s="1"/>
  <c r="J8" i="16"/>
  <c r="I6" i="21" s="1"/>
  <c r="J8" i="18"/>
  <c r="G11" i="18"/>
  <c r="G11" i="16"/>
  <c r="F9" i="21" s="1"/>
  <c r="E11" i="16"/>
  <c r="D9" i="21" s="1"/>
  <c r="E11" i="18"/>
  <c r="L12" i="18"/>
  <c r="L12" i="16"/>
  <c r="K10" i="21" s="1"/>
  <c r="H7" i="16"/>
  <c r="G5" i="21" s="1"/>
  <c r="H7" i="18"/>
  <c r="G5" i="18"/>
  <c r="G5" i="16"/>
  <c r="F3" i="21" s="1"/>
  <c r="E9" i="18"/>
  <c r="E9" i="16"/>
  <c r="D7" i="21" s="1"/>
  <c r="C4" i="18"/>
  <c r="C4" i="16"/>
  <c r="B2" i="21" s="1"/>
  <c r="K14" i="18"/>
  <c r="K14" i="16"/>
  <c r="J12" i="21" s="1"/>
  <c r="E3" i="18"/>
  <c r="E3" i="16"/>
  <c r="H13" i="18"/>
  <c r="H13" i="16"/>
  <c r="G11" i="21" s="1"/>
  <c r="F6" i="16"/>
  <c r="E4" i="21" s="1"/>
  <c r="F6" i="18"/>
  <c r="F7" i="18"/>
  <c r="F7" i="16"/>
  <c r="E5" i="21" s="1"/>
  <c r="J6" i="18"/>
  <c r="J6" i="16"/>
  <c r="I4" i="21" s="1"/>
  <c r="C5" i="16"/>
  <c r="B3" i="21" s="1"/>
  <c r="C5" i="18"/>
  <c r="C12" i="18"/>
  <c r="C12" i="16"/>
  <c r="B10" i="21" s="1"/>
  <c r="G13" i="18"/>
  <c r="G13" i="16"/>
  <c r="F11" i="21" s="1"/>
  <c r="K7" i="18"/>
  <c r="K7" i="16"/>
  <c r="J5" i="21" s="1"/>
  <c r="K10" i="16"/>
  <c r="J8" i="21" s="1"/>
  <c r="K10" i="18"/>
  <c r="E12" i="18"/>
  <c r="E12" i="16"/>
  <c r="D10" i="21" s="1"/>
  <c r="E5" i="18"/>
  <c r="E5" i="16"/>
  <c r="D3" i="21" s="1"/>
  <c r="B6" i="20" a="1"/>
  <c r="B6" i="20" s="1"/>
  <c r="W18" i="11"/>
  <c r="L5" i="18"/>
  <c r="L5" i="16"/>
  <c r="K3" i="21" s="1"/>
  <c r="D10" i="18"/>
  <c r="D10" i="16"/>
  <c r="C8" i="21" s="1"/>
  <c r="I10" i="17"/>
  <c r="A8" i="22" s="1"/>
  <c r="B4" i="20" a="1"/>
  <c r="B4" i="20" s="1"/>
  <c r="I3" i="17"/>
  <c r="A1" i="22" s="1"/>
  <c r="B9" i="31" s="1"/>
  <c r="B11" i="31" s="1"/>
  <c r="A12" i="31" s="1"/>
  <c r="M12" i="18"/>
  <c r="M12" i="16"/>
  <c r="L10" i="21" s="1"/>
  <c r="I14" i="18"/>
  <c r="I14" i="16"/>
  <c r="H12" i="21" s="1"/>
  <c r="C14" i="18"/>
  <c r="C14" i="16"/>
  <c r="B12" i="21" s="1"/>
  <c r="L11" i="18"/>
  <c r="L11" i="16"/>
  <c r="K9" i="21" s="1"/>
  <c r="I9" i="17"/>
  <c r="A7" i="22" s="1"/>
  <c r="I11" i="16"/>
  <c r="H9" i="21" s="1"/>
  <c r="I11" i="18"/>
  <c r="J4" i="18"/>
  <c r="J4" i="16"/>
  <c r="I2" i="21" s="1"/>
  <c r="G6" i="16"/>
  <c r="F4" i="21" s="1"/>
  <c r="G6" i="18"/>
  <c r="M4" i="18"/>
  <c r="M4" i="16"/>
  <c r="L2" i="21" s="1"/>
  <c r="F13" i="18"/>
  <c r="F13" i="16"/>
  <c r="E11" i="21" s="1"/>
  <c r="J12" i="18"/>
  <c r="J12" i="16"/>
  <c r="I10" i="21" s="1"/>
  <c r="K9" i="18"/>
  <c r="K9" i="16"/>
  <c r="J7" i="21" s="1"/>
  <c r="E6" i="18"/>
  <c r="E6" i="16"/>
  <c r="D4" i="21" s="1"/>
  <c r="M14" i="16"/>
  <c r="L12" i="21" s="1"/>
  <c r="M14" i="18"/>
  <c r="H5" i="18"/>
  <c r="H5" i="16"/>
  <c r="G3" i="21" s="1"/>
  <c r="I13" i="18"/>
  <c r="I13" i="16"/>
  <c r="H11" i="21" s="1"/>
  <c r="M10" i="18"/>
  <c r="M10" i="16"/>
  <c r="L8" i="21" s="1"/>
  <c r="H12" i="18"/>
  <c r="H12" i="16"/>
  <c r="G10" i="21" s="1"/>
  <c r="H14" i="18"/>
  <c r="H14" i="16"/>
  <c r="G12" i="21" s="1"/>
  <c r="I3" i="18"/>
  <c r="I3" i="16"/>
  <c r="F14" i="18"/>
  <c r="F14" i="16"/>
  <c r="E12" i="21" s="1"/>
  <c r="F8" i="18"/>
  <c r="F8" i="16"/>
  <c r="E6" i="21" s="1"/>
  <c r="J14" i="18"/>
  <c r="J14" i="16"/>
  <c r="I12" i="21" s="1"/>
  <c r="C7" i="16"/>
  <c r="B5" i="21" s="1"/>
  <c r="C7" i="18"/>
  <c r="C6" i="18"/>
  <c r="C6" i="16"/>
  <c r="B4" i="21" s="1"/>
  <c r="G9" i="18"/>
  <c r="G9" i="16"/>
  <c r="F7" i="21" s="1"/>
  <c r="K3" i="18"/>
  <c r="K3" i="16"/>
  <c r="K11" i="16"/>
  <c r="J9" i="21" s="1"/>
  <c r="K11" i="18"/>
  <c r="E10" i="18"/>
  <c r="E10" i="16"/>
  <c r="D8" i="21" s="1"/>
  <c r="E7" i="18"/>
  <c r="E7" i="16"/>
  <c r="D5" i="21" s="1"/>
  <c r="B13" i="15" a="1"/>
  <c r="B13" i="15" s="1"/>
  <c r="B4" i="15" a="1"/>
  <c r="B4" i="15" s="1"/>
  <c r="B8" i="15" a="1"/>
  <c r="B8" i="15" s="1"/>
  <c r="B14" i="15" a="1"/>
  <c r="B14" i="15" s="1"/>
  <c r="B5" i="15" a="1"/>
  <c r="B5" i="15" s="1"/>
  <c r="B10" i="15" a="1"/>
  <c r="B10" i="15" s="1"/>
  <c r="B7" i="15" a="1"/>
  <c r="B7" i="15" s="1"/>
  <c r="B11" i="15" a="1"/>
  <c r="B11" i="15" s="1"/>
  <c r="B9" i="15" a="1"/>
  <c r="B9" i="15" s="1"/>
  <c r="B6" i="15" a="1"/>
  <c r="B6" i="15" s="1"/>
  <c r="B3" i="15" a="1"/>
  <c r="B3" i="15" s="1"/>
  <c r="B12" i="15" a="1"/>
  <c r="B12" i="15" s="1"/>
  <c r="L6" i="18"/>
  <c r="L6" i="16"/>
  <c r="K4" i="21" s="1"/>
  <c r="D11" i="18"/>
  <c r="D11" i="16"/>
  <c r="C9" i="21" s="1"/>
  <c r="I6" i="17"/>
  <c r="A4" i="22" s="1"/>
  <c r="M6" i="18"/>
  <c r="M6" i="16"/>
  <c r="L4" i="21" s="1"/>
  <c r="J7" i="16"/>
  <c r="I5" i="21" s="1"/>
  <c r="J7" i="18"/>
  <c r="K8" i="16"/>
  <c r="J6" i="21" s="1"/>
  <c r="K8" i="18"/>
  <c r="D9" i="18"/>
  <c r="D9" i="16"/>
  <c r="C7" i="21" s="1"/>
  <c r="M3" i="18"/>
  <c r="M3" i="16"/>
  <c r="F10" i="18"/>
  <c r="F10" i="16"/>
  <c r="E8" i="21" s="1"/>
  <c r="J3" i="18"/>
  <c r="J3" i="16"/>
  <c r="L13" i="18"/>
  <c r="L13" i="16"/>
  <c r="K11" i="21" s="1"/>
  <c r="I11" i="17"/>
  <c r="A9" i="22" s="1"/>
  <c r="H4" i="18"/>
  <c r="H4" i="16"/>
  <c r="G2" i="21" s="1"/>
  <c r="G14" i="16"/>
  <c r="F12" i="21" s="1"/>
  <c r="G14" i="18"/>
  <c r="M13" i="18"/>
  <c r="M13" i="16"/>
  <c r="L11" i="21" s="1"/>
  <c r="M11" i="16"/>
  <c r="L9" i="21" s="1"/>
  <c r="M11" i="18"/>
  <c r="H11" i="18"/>
  <c r="H11" i="16"/>
  <c r="G9" i="21" s="1"/>
  <c r="I8" i="18"/>
  <c r="I8" i="16"/>
  <c r="H6" i="21" s="1"/>
  <c r="F11" i="16"/>
  <c r="E9" i="21" s="1"/>
  <c r="F11" i="18"/>
  <c r="F5" i="18"/>
  <c r="F5" i="16"/>
  <c r="E3" i="21" s="1"/>
  <c r="J5" i="16"/>
  <c r="I3" i="21" s="1"/>
  <c r="J5" i="18"/>
  <c r="C3" i="18"/>
  <c r="C3" i="16"/>
  <c r="C13" i="16"/>
  <c r="B11" i="21" s="1"/>
  <c r="C13" i="18"/>
  <c r="G8" i="18"/>
  <c r="G8" i="16"/>
  <c r="F6" i="21" s="1"/>
  <c r="K13" i="16"/>
  <c r="J11" i="21" s="1"/>
  <c r="K13" i="18"/>
  <c r="K6" i="18"/>
  <c r="K6" i="16"/>
  <c r="J4" i="21" s="1"/>
  <c r="E4" i="18"/>
  <c r="E4" i="16"/>
  <c r="D2" i="21" s="1"/>
  <c r="E13" i="18"/>
  <c r="E13" i="16"/>
  <c r="D11" i="21" s="1"/>
  <c r="L10" i="18"/>
  <c r="L10" i="16"/>
  <c r="K8" i="21" s="1"/>
  <c r="L9" i="18"/>
  <c r="L9" i="16"/>
  <c r="K7" i="21" s="1"/>
  <c r="D5" i="18"/>
  <c r="D5" i="16"/>
  <c r="C3" i="21" s="1"/>
  <c r="D8" i="16"/>
  <c r="C6" i="21" s="1"/>
  <c r="D8" i="18"/>
  <c r="I14" i="17"/>
  <c r="A12" i="22" s="1"/>
  <c r="H9" i="16"/>
  <c r="G7" i="21" s="1"/>
  <c r="H9" i="18"/>
  <c r="C8" i="16"/>
  <c r="B6" i="21" s="1"/>
  <c r="C8" i="18"/>
  <c r="H8" i="18"/>
  <c r="H8" i="16"/>
  <c r="G6" i="21" s="1"/>
  <c r="F12" i="18"/>
  <c r="F12" i="16"/>
  <c r="E10" i="21" s="1"/>
  <c r="C11" i="18"/>
  <c r="C11" i="16"/>
  <c r="B9" i="21" s="1"/>
  <c r="M8" i="16"/>
  <c r="L6" i="21" s="1"/>
  <c r="M8" i="18"/>
  <c r="I5" i="16"/>
  <c r="H3" i="21" s="1"/>
  <c r="I5" i="18"/>
  <c r="J9" i="18"/>
  <c r="J9" i="16"/>
  <c r="I7" i="21" s="1"/>
  <c r="C10" i="16"/>
  <c r="B8" i="21" s="1"/>
  <c r="C10" i="18"/>
  <c r="G12" i="18"/>
  <c r="G12" i="16"/>
  <c r="F10" i="21" s="1"/>
  <c r="G4" i="16"/>
  <c r="F2" i="21" s="1"/>
  <c r="G4" i="18"/>
  <c r="K12" i="18"/>
  <c r="K12" i="16"/>
  <c r="J10" i="21" s="1"/>
  <c r="E14" i="16"/>
  <c r="D12" i="21" s="1"/>
  <c r="E14" i="18"/>
  <c r="L4" i="16"/>
  <c r="K2" i="21" s="1"/>
  <c r="L4" i="18"/>
  <c r="L7" i="18"/>
  <c r="L7" i="16"/>
  <c r="K5" i="21" s="1"/>
  <c r="D12" i="18"/>
  <c r="D12" i="16"/>
  <c r="C10" i="21" s="1"/>
  <c r="D7" i="18"/>
  <c r="D7" i="16"/>
  <c r="C5" i="21" s="1"/>
  <c r="I7" i="17"/>
  <c r="A5" i="22" s="1"/>
  <c r="I10" i="16"/>
  <c r="H8" i="21" s="1"/>
  <c r="I10" i="18"/>
  <c r="G3" i="16"/>
  <c r="G3" i="18"/>
  <c r="D6" i="18"/>
  <c r="D6" i="16"/>
  <c r="C4" i="21" s="1"/>
  <c r="I4" i="16"/>
  <c r="H2" i="21" s="1"/>
  <c r="I4" i="18"/>
  <c r="K4" i="18"/>
  <c r="K4" i="16"/>
  <c r="J2" i="21" s="1"/>
  <c r="D4" i="18"/>
  <c r="D4" i="16"/>
  <c r="C2" i="21" s="1"/>
  <c r="I9" i="16"/>
  <c r="H7" i="21" s="1"/>
  <c r="I9" i="18"/>
  <c r="M9" i="16"/>
  <c r="L7" i="21" s="1"/>
  <c r="M9" i="18"/>
  <c r="H10" i="18"/>
  <c r="H10" i="16"/>
  <c r="G8" i="21" s="1"/>
  <c r="I6" i="16"/>
  <c r="H4" i="21" s="1"/>
  <c r="I6" i="18"/>
  <c r="F3" i="16"/>
  <c r="F3" i="18"/>
  <c r="J10" i="16"/>
  <c r="I8" i="21" s="1"/>
  <c r="J10" i="18"/>
  <c r="M7" i="18"/>
  <c r="M7" i="16"/>
  <c r="L5" i="21" s="1"/>
  <c r="M5" i="18"/>
  <c r="M5" i="16"/>
  <c r="L3" i="21" s="1"/>
  <c r="H3" i="16"/>
  <c r="H3" i="18"/>
  <c r="I7" i="16"/>
  <c r="H5" i="21" s="1"/>
  <c r="I7" i="18"/>
  <c r="I12" i="18"/>
  <c r="I12" i="16"/>
  <c r="H10" i="21" s="1"/>
  <c r="F4" i="18"/>
  <c r="F4" i="16"/>
  <c r="E2" i="21" s="1"/>
  <c r="J11" i="18"/>
  <c r="J11" i="16"/>
  <c r="I9" i="21" s="1"/>
  <c r="J13" i="18"/>
  <c r="J13" i="16"/>
  <c r="I11" i="21" s="1"/>
  <c r="C9" i="18"/>
  <c r="C9" i="16"/>
  <c r="B7" i="21" s="1"/>
  <c r="G7" i="16"/>
  <c r="F5" i="21" s="1"/>
  <c r="G7" i="18"/>
  <c r="G10" i="18"/>
  <c r="G10" i="16"/>
  <c r="F8" i="21" s="1"/>
  <c r="K5" i="16"/>
  <c r="J3" i="21" s="1"/>
  <c r="K5" i="18"/>
  <c r="E8" i="16"/>
  <c r="D6" i="21" s="1"/>
  <c r="E8" i="18"/>
  <c r="L3" i="18"/>
  <c r="L3" i="16"/>
  <c r="L14" i="18"/>
  <c r="L14" i="16"/>
  <c r="K12" i="21" s="1"/>
  <c r="D13" i="18"/>
  <c r="D13" i="16"/>
  <c r="C11" i="21" s="1"/>
  <c r="D3" i="18"/>
  <c r="D3" i="16"/>
  <c r="I8" i="17"/>
  <c r="A6" i="22" s="1"/>
  <c r="I1" i="21" l="1"/>
  <c r="A9" i="27"/>
  <c r="B7" i="18"/>
  <c r="B7" i="16"/>
  <c r="B11" i="18"/>
  <c r="B11" i="16"/>
  <c r="B1" i="21"/>
  <c r="A2" i="27"/>
  <c r="B10" i="16"/>
  <c r="B10" i="18"/>
  <c r="D1" i="21"/>
  <c r="A4" i="27"/>
  <c r="B5" i="16"/>
  <c r="B5" i="18"/>
  <c r="C1" i="21"/>
  <c r="A3" i="27"/>
  <c r="B12" i="18"/>
  <c r="B12" i="16"/>
  <c r="E1" i="21"/>
  <c r="A5" i="27"/>
  <c r="L1" i="21"/>
  <c r="A12" i="27"/>
  <c r="B3" i="18"/>
  <c r="B3" i="16"/>
  <c r="B8" i="16"/>
  <c r="B8" i="18"/>
  <c r="K1" i="21"/>
  <c r="A11" i="27"/>
  <c r="B6" i="18"/>
  <c r="B6" i="16"/>
  <c r="B4" i="18"/>
  <c r="B4" i="16"/>
  <c r="J1" i="21"/>
  <c r="A10" i="27"/>
  <c r="B14" i="16"/>
  <c r="B14" i="18"/>
  <c r="H1" i="21"/>
  <c r="A8" i="27"/>
  <c r="G1" i="21"/>
  <c r="A7" i="27"/>
  <c r="F1" i="21"/>
  <c r="A6" i="27"/>
  <c r="B9" i="18"/>
  <c r="B9" i="16"/>
  <c r="B13" i="18"/>
  <c r="B13" i="16"/>
  <c r="A9" i="21" l="1"/>
  <c r="N11" i="16"/>
  <c r="N13" i="29"/>
  <c r="J29" i="18" a="1"/>
  <c r="J29" i="18" s="1"/>
  <c r="M29" i="18" a="1"/>
  <c r="M29" i="18" s="1"/>
  <c r="C29" i="18" a="1"/>
  <c r="C29" i="18" s="1"/>
  <c r="F28" i="18" a="1"/>
  <c r="F28" i="18" s="1"/>
  <c r="M27" i="18" a="1"/>
  <c r="M27" i="18" s="1"/>
  <c r="D27" i="18" a="1"/>
  <c r="D27" i="18" s="1"/>
  <c r="G26" i="18" a="1"/>
  <c r="G26" i="18" s="1"/>
  <c r="J25" i="18" a="1"/>
  <c r="J25" i="18" s="1"/>
  <c r="E25" i="18" a="1"/>
  <c r="E25" i="18" s="1"/>
  <c r="H24" i="18" a="1"/>
  <c r="H24" i="18" s="1"/>
  <c r="K23" i="18" a="1"/>
  <c r="K23" i="18" s="1"/>
  <c r="B23" i="18" a="1"/>
  <c r="B23" i="18" s="1"/>
  <c r="D27" i="31" s="1"/>
  <c r="E27" i="31" s="1"/>
  <c r="I27" i="31" s="1"/>
  <c r="I22" i="18" a="1"/>
  <c r="I22" i="18" s="1"/>
  <c r="E22" i="18" a="1"/>
  <c r="E22" i="18" s="1"/>
  <c r="M21" i="18" a="1"/>
  <c r="M21" i="18" s="1"/>
  <c r="I21" i="18" a="1"/>
  <c r="I21" i="18" s="1"/>
  <c r="G29" i="18" a="1"/>
  <c r="G29" i="18" s="1"/>
  <c r="J28" i="18" a="1"/>
  <c r="J28" i="18" s="1"/>
  <c r="E28" i="18" a="1"/>
  <c r="E28" i="18" s="1"/>
  <c r="H27" i="18" a="1"/>
  <c r="H27" i="18" s="1"/>
  <c r="K26" i="18" a="1"/>
  <c r="K26" i="18" s="1"/>
  <c r="B26" i="18" a="1"/>
  <c r="B26" i="18" s="1"/>
  <c r="D30" i="31" s="1"/>
  <c r="E30" i="31" s="1"/>
  <c r="I30" i="31" s="1"/>
  <c r="I25" i="18" a="1"/>
  <c r="I25" i="18" s="1"/>
  <c r="L24" i="18" a="1"/>
  <c r="L24" i="18" s="1"/>
  <c r="C24" i="18" a="1"/>
  <c r="C24" i="18" s="1"/>
  <c r="F23" i="18" a="1"/>
  <c r="F23" i="18" s="1"/>
  <c r="M22" i="18" a="1"/>
  <c r="M22" i="18" s="1"/>
  <c r="L29" i="18" a="1"/>
  <c r="L29" i="18" s="1"/>
  <c r="B29" i="18" a="1"/>
  <c r="B29" i="18" s="1"/>
  <c r="D33" i="31" s="1"/>
  <c r="E33" i="31" s="1"/>
  <c r="I33" i="31" s="1"/>
  <c r="I28" i="18" a="1"/>
  <c r="I28" i="18" s="1"/>
  <c r="L27" i="18" a="1"/>
  <c r="L27" i="18" s="1"/>
  <c r="C27" i="18" a="1"/>
  <c r="C27" i="18" s="1"/>
  <c r="F26" i="18" a="1"/>
  <c r="F26" i="18" s="1"/>
  <c r="M25" i="18" a="1"/>
  <c r="M25" i="18" s="1"/>
  <c r="D25" i="18" a="1"/>
  <c r="D25" i="18" s="1"/>
  <c r="G24" i="18" a="1"/>
  <c r="G24" i="18" s="1"/>
  <c r="J23" i="18" a="1"/>
  <c r="J23" i="18" s="1"/>
  <c r="E23" i="18" a="1"/>
  <c r="E23" i="18" s="1"/>
  <c r="H22" i="18" a="1"/>
  <c r="H22" i="18" s="1"/>
  <c r="F29" i="18" a="1"/>
  <c r="F29" i="18" s="1"/>
  <c r="K29" i="18" a="1"/>
  <c r="K29" i="18" s="1"/>
  <c r="E29" i="18" a="1"/>
  <c r="E29" i="18" s="1"/>
  <c r="H28" i="18" a="1"/>
  <c r="H28" i="18" s="1"/>
  <c r="K27" i="18" a="1"/>
  <c r="K27" i="18" s="1"/>
  <c r="B27" i="18" a="1"/>
  <c r="B27" i="18" s="1"/>
  <c r="D31" i="31" s="1"/>
  <c r="E31" i="31" s="1"/>
  <c r="I31" i="31" s="1"/>
  <c r="I26" i="18" a="1"/>
  <c r="I26" i="18" s="1"/>
  <c r="L25" i="18" a="1"/>
  <c r="L25" i="18" s="1"/>
  <c r="C25" i="18" a="1"/>
  <c r="C25" i="18" s="1"/>
  <c r="F24" i="18" a="1"/>
  <c r="F24" i="18" s="1"/>
  <c r="M23" i="18" a="1"/>
  <c r="M23" i="18" s="1"/>
  <c r="D23" i="18" a="1"/>
  <c r="D23" i="18" s="1"/>
  <c r="I29" i="18" a="1"/>
  <c r="I29" i="18" s="1"/>
  <c r="L28" i="18" a="1"/>
  <c r="L28" i="18" s="1"/>
  <c r="C28" i="18" a="1"/>
  <c r="C28" i="18" s="1"/>
  <c r="F27" i="18" a="1"/>
  <c r="F27" i="18" s="1"/>
  <c r="M26" i="18" a="1"/>
  <c r="M26" i="18" s="1"/>
  <c r="D26" i="18" a="1"/>
  <c r="D26" i="18" s="1"/>
  <c r="G25" i="18" a="1"/>
  <c r="G25" i="18" s="1"/>
  <c r="J24" i="18" a="1"/>
  <c r="J24" i="18" s="1"/>
  <c r="E24" i="18" a="1"/>
  <c r="E24" i="18" s="1"/>
  <c r="H23" i="18" a="1"/>
  <c r="H23" i="18" s="1"/>
  <c r="K22" i="18" a="1"/>
  <c r="K22" i="18" s="1"/>
  <c r="H29" i="18" a="1"/>
  <c r="H29" i="18" s="1"/>
  <c r="K28" i="18" a="1"/>
  <c r="K28" i="18" s="1"/>
  <c r="B28" i="18" a="1"/>
  <c r="B28" i="18" s="1"/>
  <c r="D32" i="31" s="1"/>
  <c r="E32" i="31" s="1"/>
  <c r="I32" i="31" s="1"/>
  <c r="I27" i="18" a="1"/>
  <c r="I27" i="18" s="1"/>
  <c r="L26" i="18" a="1"/>
  <c r="L26" i="18" s="1"/>
  <c r="C26" i="18" a="1"/>
  <c r="C26" i="18" s="1"/>
  <c r="F25" i="18" a="1"/>
  <c r="F25" i="18" s="1"/>
  <c r="M24" i="18" a="1"/>
  <c r="M24" i="18" s="1"/>
  <c r="D24" i="18" a="1"/>
  <c r="D24" i="18" s="1"/>
  <c r="G23" i="18" a="1"/>
  <c r="G23" i="18" s="1"/>
  <c r="J22" i="18" a="1"/>
  <c r="J22" i="18" s="1"/>
  <c r="E26" i="18" a="1"/>
  <c r="E26" i="18" s="1"/>
  <c r="K24" i="18" a="1"/>
  <c r="K24" i="18" s="1"/>
  <c r="D22" i="18" a="1"/>
  <c r="D22" i="18" s="1"/>
  <c r="H21" i="18" a="1"/>
  <c r="H21" i="18" s="1"/>
  <c r="B21" i="18" a="1"/>
  <c r="B21" i="18" s="1"/>
  <c r="D25" i="31" s="1"/>
  <c r="E25" i="31" s="1"/>
  <c r="I25" i="31" s="1"/>
  <c r="M19" i="18" a="1"/>
  <c r="M19" i="18" s="1"/>
  <c r="G19" i="18" a="1"/>
  <c r="G19" i="18" s="1"/>
  <c r="L18" i="18" a="1"/>
  <c r="L18" i="18" s="1"/>
  <c r="F18" i="18" a="1"/>
  <c r="F18" i="18" s="1"/>
  <c r="D29" i="18" a="1"/>
  <c r="D29" i="18" s="1"/>
  <c r="J27" i="18" a="1"/>
  <c r="J27" i="18" s="1"/>
  <c r="I24" i="18" a="1"/>
  <c r="I24" i="18" s="1"/>
  <c r="C23" i="18" a="1"/>
  <c r="C23" i="18" s="1"/>
  <c r="M20" i="18" a="1"/>
  <c r="M20" i="18" s="1"/>
  <c r="G20" i="18" a="1"/>
  <c r="G20" i="18" s="1"/>
  <c r="L19" i="18" a="1"/>
  <c r="L19" i="18" s="1"/>
  <c r="F19" i="18" a="1"/>
  <c r="F19" i="18" s="1"/>
  <c r="E18" i="18" a="1"/>
  <c r="E18" i="18" s="1"/>
  <c r="M28" i="18" a="1"/>
  <c r="M28" i="18" s="1"/>
  <c r="G27" i="18" a="1"/>
  <c r="G27" i="18" s="1"/>
  <c r="L22" i="18" a="1"/>
  <c r="L22" i="18" s="1"/>
  <c r="C22" i="18" a="1"/>
  <c r="C22" i="18" s="1"/>
  <c r="G21" i="18" a="1"/>
  <c r="G21" i="18" s="1"/>
  <c r="L20" i="18" a="1"/>
  <c r="L20" i="18" s="1"/>
  <c r="F20" i="18" a="1"/>
  <c r="F20" i="18" s="1"/>
  <c r="E19" i="18" a="1"/>
  <c r="E19" i="18" s="1"/>
  <c r="K18" i="18" a="1"/>
  <c r="K18" i="18" s="1"/>
  <c r="D18" i="18" a="1"/>
  <c r="D18" i="18" s="1"/>
  <c r="E27" i="18" a="1"/>
  <c r="E27" i="18" s="1"/>
  <c r="K25" i="18" a="1"/>
  <c r="K25" i="18" s="1"/>
  <c r="B22" i="18" a="1"/>
  <c r="B22" i="18" s="1"/>
  <c r="D26" i="31" s="1"/>
  <c r="E26" i="31" s="1"/>
  <c r="I26" i="31" s="1"/>
  <c r="F21" i="18" a="1"/>
  <c r="F21" i="18" s="1"/>
  <c r="E20" i="18" a="1"/>
  <c r="E20" i="18" s="1"/>
  <c r="K19" i="18" a="1"/>
  <c r="K19" i="18" s="1"/>
  <c r="D19" i="18" a="1"/>
  <c r="D19" i="18" s="1"/>
  <c r="J18" i="18" a="1"/>
  <c r="J18" i="18" s="1"/>
  <c r="H25" i="18" a="1"/>
  <c r="H25" i="18" s="1"/>
  <c r="B24" i="18" a="1"/>
  <c r="B24" i="18" s="1"/>
  <c r="D28" i="31" s="1"/>
  <c r="E28" i="31" s="1"/>
  <c r="I28" i="31" s="1"/>
  <c r="L21" i="18" a="1"/>
  <c r="L21" i="18" s="1"/>
  <c r="E21" i="18" a="1"/>
  <c r="E21" i="18" s="1"/>
  <c r="K20" i="18" a="1"/>
  <c r="K20" i="18" s="1"/>
  <c r="D20" i="18" a="1"/>
  <c r="D20" i="18" s="1"/>
  <c r="J19" i="18" a="1"/>
  <c r="J19" i="18" s="1"/>
  <c r="I18" i="18" a="1"/>
  <c r="I18" i="18" s="1"/>
  <c r="C18" i="18" a="1"/>
  <c r="C18" i="18" s="1"/>
  <c r="G28" i="18" a="1"/>
  <c r="G28" i="18" s="1"/>
  <c r="L23" i="18" a="1"/>
  <c r="L23" i="18" s="1"/>
  <c r="D21" i="18" a="1"/>
  <c r="D21" i="18" s="1"/>
  <c r="J20" i="18" a="1"/>
  <c r="J20" i="18" s="1"/>
  <c r="I19" i="18" a="1"/>
  <c r="I19" i="18" s="1"/>
  <c r="C19" i="18" a="1"/>
  <c r="C19" i="18" s="1"/>
  <c r="H18" i="18" a="1"/>
  <c r="H18" i="18" s="1"/>
  <c r="B18" i="18" a="1"/>
  <c r="B18" i="18" s="1"/>
  <c r="D22" i="31" s="1"/>
  <c r="E22" i="31" s="1"/>
  <c r="H26" i="18" a="1"/>
  <c r="H26" i="18" s="1"/>
  <c r="J21" i="18" a="1"/>
  <c r="J21" i="18" s="1"/>
  <c r="B19" i="18" a="1"/>
  <c r="B19" i="18" s="1"/>
  <c r="D23" i="31" s="1"/>
  <c r="E23" i="31" s="1"/>
  <c r="I23" i="31" s="1"/>
  <c r="B25" i="18" a="1"/>
  <c r="B25" i="18" s="1"/>
  <c r="D29" i="31" s="1"/>
  <c r="E29" i="31" s="1"/>
  <c r="I29" i="31" s="1"/>
  <c r="C21" i="18" a="1"/>
  <c r="C21" i="18" s="1"/>
  <c r="M18" i="18" a="1"/>
  <c r="M18" i="18" s="1"/>
  <c r="I23" i="18" a="1"/>
  <c r="I23" i="18" s="1"/>
  <c r="I20" i="18" a="1"/>
  <c r="I20" i="18" s="1"/>
  <c r="H20" i="18" a="1"/>
  <c r="H20" i="18" s="1"/>
  <c r="G18" i="18" a="1"/>
  <c r="G18" i="18" s="1"/>
  <c r="D28" i="18" a="1"/>
  <c r="D28" i="18" s="1"/>
  <c r="G22" i="18" a="1"/>
  <c r="G22" i="18" s="1"/>
  <c r="C20" i="18" a="1"/>
  <c r="C20" i="18" s="1"/>
  <c r="H19" i="18" a="1"/>
  <c r="H19" i="18" s="1"/>
  <c r="J26" i="18" a="1"/>
  <c r="J26" i="18" s="1"/>
  <c r="F22" i="18" a="1"/>
  <c r="F22" i="18" s="1"/>
  <c r="K21" i="18" a="1"/>
  <c r="K21" i="18" s="1"/>
  <c r="B20" i="18" a="1"/>
  <c r="B20" i="18" s="1"/>
  <c r="D24" i="31" s="1"/>
  <c r="E24" i="31" s="1"/>
  <c r="I24" i="31" s="1"/>
  <c r="A3" i="21"/>
  <c r="N5" i="16"/>
  <c r="N7" i="29"/>
  <c r="A5" i="21"/>
  <c r="N7" i="16"/>
  <c r="N9" i="29"/>
  <c r="A1" i="21"/>
  <c r="B3" i="20" a="1"/>
  <c r="B3" i="20" s="1"/>
  <c r="B10" i="20"/>
  <c r="N3" i="16"/>
  <c r="N17" i="29"/>
  <c r="N5" i="29"/>
  <c r="A1" i="27"/>
  <c r="A4" i="21"/>
  <c r="N6" i="16"/>
  <c r="N8" i="29"/>
  <c r="A7" i="21"/>
  <c r="N9" i="16"/>
  <c r="N11" i="29"/>
  <c r="A12" i="21"/>
  <c r="N14" i="16"/>
  <c r="N16" i="29"/>
  <c r="A2" i="21"/>
  <c r="N4" i="16"/>
  <c r="N6" i="29"/>
  <c r="A11" i="21"/>
  <c r="N13" i="16"/>
  <c r="N15" i="29"/>
  <c r="A10" i="21"/>
  <c r="N12" i="16"/>
  <c r="N14" i="29"/>
  <c r="A6" i="21"/>
  <c r="N8" i="16"/>
  <c r="N10" i="29"/>
  <c r="A8" i="21"/>
  <c r="N10" i="16"/>
  <c r="N12" i="29"/>
  <c r="E34" i="31" l="1"/>
  <c r="F33" i="31"/>
  <c r="G33" i="31"/>
  <c r="F32" i="31"/>
  <c r="G32" i="31"/>
  <c r="F31" i="31"/>
  <c r="G31" i="31"/>
  <c r="F30" i="31"/>
  <c r="G30" i="31"/>
  <c r="F29" i="31"/>
  <c r="G29" i="31"/>
  <c r="F28" i="31"/>
  <c r="G28" i="31"/>
  <c r="F27" i="31"/>
  <c r="G27" i="31"/>
  <c r="F26" i="31"/>
  <c r="G26" i="31"/>
  <c r="F25" i="31"/>
  <c r="G25" i="31"/>
  <c r="F24" i="31"/>
  <c r="G24" i="31"/>
  <c r="F23" i="31"/>
  <c r="G23" i="31"/>
  <c r="G22" i="31"/>
  <c r="I22" i="31"/>
  <c r="B15" i="31"/>
  <c r="F22" i="31"/>
  <c r="G17" i="30"/>
  <c r="L17" i="30"/>
  <c r="D17" i="30"/>
  <c r="K17" i="30"/>
  <c r="C17" i="30"/>
  <c r="J17" i="30"/>
  <c r="B17" i="30"/>
  <c r="I17" i="30"/>
  <c r="M17" i="30"/>
  <c r="H17" i="30"/>
  <c r="F17" i="30"/>
  <c r="E17" i="30"/>
  <c r="G17" i="29"/>
  <c r="E17" i="29"/>
  <c r="C17" i="29"/>
  <c r="I17" i="29"/>
  <c r="H17" i="29"/>
  <c r="F17" i="29"/>
  <c r="D17" i="29"/>
  <c r="B17" i="29"/>
  <c r="J7" i="30"/>
  <c r="B7" i="30"/>
  <c r="G7" i="30"/>
  <c r="F7" i="30"/>
  <c r="M7" i="30"/>
  <c r="E7" i="30"/>
  <c r="L7" i="30"/>
  <c r="D7" i="30"/>
  <c r="H7" i="30"/>
  <c r="C7" i="30"/>
  <c r="K7" i="30"/>
  <c r="I7" i="30"/>
  <c r="H7" i="29"/>
  <c r="G7" i="29"/>
  <c r="E7" i="29"/>
  <c r="I7" i="29"/>
  <c r="F7" i="29"/>
  <c r="D7" i="29"/>
  <c r="C7" i="29"/>
  <c r="B7" i="29"/>
  <c r="L12" i="30"/>
  <c r="D12" i="30"/>
  <c r="I12" i="30"/>
  <c r="H12" i="30"/>
  <c r="G12" i="30"/>
  <c r="F12" i="30"/>
  <c r="B12" i="30"/>
  <c r="M12" i="30"/>
  <c r="K12" i="30"/>
  <c r="J12" i="30"/>
  <c r="E12" i="30"/>
  <c r="C12" i="30"/>
  <c r="G12" i="29"/>
  <c r="C12" i="29"/>
  <c r="I12" i="29"/>
  <c r="H12" i="29"/>
  <c r="F12" i="29"/>
  <c r="E12" i="29"/>
  <c r="D12" i="29"/>
  <c r="B12" i="29"/>
  <c r="J15" i="30"/>
  <c r="B15" i="30"/>
  <c r="G15" i="30"/>
  <c r="F15" i="30"/>
  <c r="M15" i="30"/>
  <c r="E15" i="30"/>
  <c r="L15" i="30"/>
  <c r="D15" i="30"/>
  <c r="K15" i="30"/>
  <c r="I15" i="30"/>
  <c r="H15" i="30"/>
  <c r="C15" i="30"/>
  <c r="H15" i="29"/>
  <c r="D15" i="29"/>
  <c r="C15" i="29"/>
  <c r="B15" i="29"/>
  <c r="I15" i="29"/>
  <c r="G15" i="29"/>
  <c r="F15" i="29"/>
  <c r="E15" i="29"/>
  <c r="F5" i="30"/>
  <c r="K5" i="30"/>
  <c r="C5" i="30"/>
  <c r="J5" i="30"/>
  <c r="B5" i="30"/>
  <c r="I5" i="30"/>
  <c r="H5" i="30"/>
  <c r="M5" i="30"/>
  <c r="L5" i="30"/>
  <c r="G5" i="30"/>
  <c r="E5" i="30"/>
  <c r="D5" i="30"/>
  <c r="I5" i="29"/>
  <c r="F5" i="29"/>
  <c r="H5" i="29"/>
  <c r="G5" i="29"/>
  <c r="E5" i="29"/>
  <c r="C5" i="29"/>
  <c r="D5" i="29"/>
  <c r="B5" i="29"/>
  <c r="H10" i="30"/>
  <c r="M10" i="30"/>
  <c r="E10" i="30"/>
  <c r="L10" i="30"/>
  <c r="D10" i="30"/>
  <c r="K10" i="30"/>
  <c r="C10" i="30"/>
  <c r="J10" i="30"/>
  <c r="B10" i="30"/>
  <c r="G10" i="30"/>
  <c r="F10" i="30"/>
  <c r="I10" i="30"/>
  <c r="I10" i="29"/>
  <c r="D10" i="29"/>
  <c r="C10" i="29"/>
  <c r="B10" i="29"/>
  <c r="F10" i="29"/>
  <c r="E10" i="29"/>
  <c r="H10" i="29"/>
  <c r="G10" i="29"/>
  <c r="B5" i="20" a="1"/>
  <c r="B5" i="20" s="1"/>
  <c r="H6" i="30"/>
  <c r="M6" i="30"/>
  <c r="E6" i="30"/>
  <c r="L6" i="30"/>
  <c r="D6" i="30"/>
  <c r="K6" i="30"/>
  <c r="C6" i="30"/>
  <c r="J6" i="30"/>
  <c r="B6" i="30"/>
  <c r="I6" i="30"/>
  <c r="G6" i="30"/>
  <c r="F6" i="30"/>
  <c r="D6" i="29"/>
  <c r="B6" i="29"/>
  <c r="I6" i="29"/>
  <c r="C6" i="29"/>
  <c r="H6" i="29"/>
  <c r="G6" i="29"/>
  <c r="F6" i="29"/>
  <c r="E6" i="29"/>
  <c r="J11" i="30"/>
  <c r="B11" i="30"/>
  <c r="G11" i="30"/>
  <c r="F11" i="30"/>
  <c r="M11" i="30"/>
  <c r="E11" i="30"/>
  <c r="L11" i="30"/>
  <c r="D11" i="30"/>
  <c r="K11" i="30"/>
  <c r="I11" i="30"/>
  <c r="H11" i="30"/>
  <c r="C11" i="30"/>
  <c r="D11" i="29"/>
  <c r="H11" i="29"/>
  <c r="I11" i="29"/>
  <c r="G11" i="29"/>
  <c r="F11" i="29"/>
  <c r="E11" i="29"/>
  <c r="C11" i="29"/>
  <c r="B11" i="29"/>
  <c r="F13" i="30"/>
  <c r="K13" i="30"/>
  <c r="C13" i="30"/>
  <c r="J13" i="30"/>
  <c r="B13" i="30"/>
  <c r="I13" i="30"/>
  <c r="H13" i="30"/>
  <c r="G13" i="30"/>
  <c r="E13" i="30"/>
  <c r="D13" i="30"/>
  <c r="M13" i="30"/>
  <c r="L13" i="30"/>
  <c r="B13" i="29"/>
  <c r="F13" i="29"/>
  <c r="G13" i="29"/>
  <c r="C13" i="29"/>
  <c r="H13" i="29"/>
  <c r="E13" i="29"/>
  <c r="D13" i="29"/>
  <c r="I13" i="29"/>
  <c r="L8" i="30"/>
  <c r="D8" i="30"/>
  <c r="I8" i="30"/>
  <c r="H8" i="30"/>
  <c r="G8" i="30"/>
  <c r="F8" i="30"/>
  <c r="M8" i="30"/>
  <c r="K8" i="30"/>
  <c r="J8" i="30"/>
  <c r="E8" i="30"/>
  <c r="C8" i="30"/>
  <c r="B8" i="30"/>
  <c r="C8" i="29"/>
  <c r="D8" i="29"/>
  <c r="B8" i="29"/>
  <c r="I8" i="29"/>
  <c r="E8" i="29"/>
  <c r="H8" i="29"/>
  <c r="F8" i="29"/>
  <c r="G8" i="29"/>
  <c r="H14" i="30"/>
  <c r="M14" i="30"/>
  <c r="E14" i="30"/>
  <c r="L14" i="30"/>
  <c r="D14" i="30"/>
  <c r="K14" i="30"/>
  <c r="C14" i="30"/>
  <c r="J14" i="30"/>
  <c r="B14" i="30"/>
  <c r="I14" i="30"/>
  <c r="G14" i="30"/>
  <c r="F14" i="30"/>
  <c r="E14" i="29"/>
  <c r="I14" i="29"/>
  <c r="C14" i="29"/>
  <c r="F14" i="29"/>
  <c r="B14" i="29"/>
  <c r="D14" i="29"/>
  <c r="H14" i="29"/>
  <c r="G14" i="29"/>
  <c r="L16" i="30"/>
  <c r="D16" i="30"/>
  <c r="I16" i="30"/>
  <c r="H16" i="30"/>
  <c r="G16" i="30"/>
  <c r="F16" i="30"/>
  <c r="J16" i="30"/>
  <c r="E16" i="30"/>
  <c r="C16" i="30"/>
  <c r="B16" i="30"/>
  <c r="M16" i="30"/>
  <c r="K16" i="30"/>
  <c r="C16" i="29"/>
  <c r="I16" i="29"/>
  <c r="G16" i="29"/>
  <c r="H16" i="29"/>
  <c r="F16" i="29"/>
  <c r="E16" i="29"/>
  <c r="D16" i="29"/>
  <c r="B16" i="29"/>
  <c r="F9" i="30"/>
  <c r="K9" i="30"/>
  <c r="C9" i="30"/>
  <c r="J9" i="30"/>
  <c r="B9" i="30"/>
  <c r="I9" i="30"/>
  <c r="H9" i="30"/>
  <c r="M9" i="30"/>
  <c r="L9" i="30"/>
  <c r="G9" i="30"/>
  <c r="E9" i="30"/>
  <c r="D9" i="30"/>
  <c r="F9" i="29"/>
  <c r="I9" i="29"/>
  <c r="G9" i="29"/>
  <c r="E9" i="29"/>
  <c r="H9" i="29"/>
  <c r="D9" i="29"/>
  <c r="C9" i="29"/>
  <c r="B9" i="29"/>
  <c r="G34" i="31" l="1"/>
  <c r="F34" i="31"/>
  <c r="H32" i="31"/>
  <c r="H33" i="31"/>
  <c r="H30" i="31"/>
  <c r="H31" i="31"/>
  <c r="H28" i="31"/>
  <c r="H29" i="31"/>
  <c r="H26" i="31"/>
  <c r="H27" i="31"/>
  <c r="H24" i="31"/>
  <c r="H25" i="31"/>
  <c r="B18" i="31"/>
  <c r="B19" i="31"/>
  <c r="H22" i="31"/>
  <c r="H23" i="31"/>
  <c r="B16" i="31"/>
  <c r="B17" i="31"/>
  <c r="J13" i="29"/>
  <c r="K13" i="29" s="1"/>
  <c r="J7" i="29"/>
  <c r="K7" i="29" s="1"/>
  <c r="N16" i="30"/>
  <c r="J11" i="29"/>
  <c r="K11" i="29" s="1"/>
  <c r="N10" i="30"/>
  <c r="N12" i="30"/>
  <c r="N17" i="30"/>
  <c r="J12" i="29"/>
  <c r="K12" i="29" s="1"/>
  <c r="J10" i="29"/>
  <c r="K10" i="29" s="1"/>
  <c r="N8" i="30"/>
  <c r="N6" i="30"/>
  <c r="N7" i="30"/>
  <c r="J16" i="29"/>
  <c r="K16" i="29" s="1"/>
  <c r="N14" i="30"/>
  <c r="J8" i="29"/>
  <c r="K8" i="29" s="1"/>
  <c r="J5" i="29"/>
  <c r="K5" i="29" s="1"/>
  <c r="J15" i="29"/>
  <c r="K15" i="29" s="1"/>
  <c r="J17" i="29"/>
  <c r="K17" i="29" s="1"/>
  <c r="N13" i="30"/>
  <c r="N15" i="30"/>
  <c r="J9" i="29"/>
  <c r="K9" i="29" s="1"/>
  <c r="N9" i="30"/>
  <c r="J6" i="29"/>
  <c r="K6" i="29" s="1"/>
  <c r="J14" i="29"/>
  <c r="K14" i="29" s="1"/>
  <c r="N11" i="30"/>
  <c r="N5" i="30"/>
  <c r="H34" i="31" l="1"/>
</calcChain>
</file>

<file path=xl/sharedStrings.xml><?xml version="1.0" encoding="utf-8"?>
<sst xmlns="http://schemas.openxmlformats.org/spreadsheetml/2006/main" count="1099" uniqueCount="284">
  <si>
    <t>MIP 12 x 12 do Piaui, 2018 - estoques mantidos na base</t>
  </si>
  <si>
    <t>Aba</t>
  </si>
  <si>
    <t>Conteudo</t>
  </si>
  <si>
    <t>01_Recursos</t>
  </si>
  <si>
    <t>ENTRADA: bloco I da TRUR - producao, importacoes, margens e impostos</t>
  </si>
  <si>
    <t>02_Usos</t>
  </si>
  <si>
    <t>ENTRADA: bloco II da TRUR - consumo intermediario e demanda final</t>
  </si>
  <si>
    <t>03_VA</t>
  </si>
  <si>
    <t>ENTRADA: valor adicionado da TRUR e pessoal ocupado (fonte externa)</t>
  </si>
  <si>
    <t>04_Conferencias</t>
  </si>
  <si>
    <t>Identidades contabeis da TRUR - ver a nota sobre a folga da fonte</t>
  </si>
  <si>
    <t>05_ALFA</t>
  </si>
  <si>
    <t>Base de distribuicao (usos sem estoques) e matriz ALFA</t>
  </si>
  <si>
    <t>06_M_comercio</t>
  </si>
  <si>
    <t>Margem de comercio embutida e a compensacao na linha do Comercio</t>
  </si>
  <si>
    <t>07_M_transporte</t>
  </si>
  <si>
    <t>Margem de transporte embutida e a compensacao na linha do Transporte</t>
  </si>
  <si>
    <t>08_M_impostos</t>
  </si>
  <si>
    <t>Base sem exportacao internacional e os impostos distribuidos</t>
  </si>
  <si>
    <t>09_M_importacoes</t>
  </si>
  <si>
    <t>Base sem nenhuma exportacao e as importacoes (outras UFs e outros paises)</t>
  </si>
  <si>
    <t>10_Usos_basicos</t>
  </si>
  <si>
    <t>Usos a precos de consumidor e, abaixo, a precos basicos</t>
  </si>
  <si>
    <t>11_D</t>
  </si>
  <si>
    <t>Matriz D de participacao de mercado (atividade x produto)</t>
  </si>
  <si>
    <t>12_X</t>
  </si>
  <si>
    <t>Producao por atividade (X) e por produto (q)</t>
  </si>
  <si>
    <t>13_Bn</t>
  </si>
  <si>
    <t>Coeficientes tecnicos regionais produto x atividade</t>
  </si>
  <si>
    <t>14_A</t>
  </si>
  <si>
    <t>Matriz tecnica A = D x Bn (atividade x atividade)</t>
  </si>
  <si>
    <t>15_Z</t>
  </si>
  <si>
    <t>Fluxos intermediarios Z = A x diag(X)</t>
  </si>
  <si>
    <t>16_Y</t>
  </si>
  <si>
    <t>Demanda final por atividade Y = D x DF a precos basicos</t>
  </si>
  <si>
    <t>17_Leontief</t>
  </si>
  <si>
    <t>Matriz (I - A) e a inversa de Leontief L</t>
  </si>
  <si>
    <t>18_Pagamentos</t>
  </si>
  <si>
    <t>Impostos e importacoes pagos por cada destino</t>
  </si>
  <si>
    <t>19_Diagnostico</t>
  </si>
  <si>
    <t>Erros das identidades e celulas negativas criadas pelo metodo</t>
  </si>
  <si>
    <t>Z, y, x, v, e, c, sp, set</t>
  </si>
  <si>
    <t>Formato vale_perobelli (sem cabecalho), para uso em mip_pi_com_png.R</t>
  </si>
  <si>
    <t/>
  </si>
  <si>
    <t>Fonte: IBGE, Tabela de Recursos e Usos Regional (TRUR) 2018, Piaui (UF 22),</t>
  </si>
  <si>
    <t>nivel 12. Valores correntes em R$ 1 000 000. Metodologia de Guilhoto e</t>
  </si>
  <si>
    <t>Sesso Filho (2005).</t>
  </si>
  <si>
    <t>As abas 01 a 03 sao as unicas com numeros digitados; todas as demais sao</t>
  </si>
  <si>
    <t>formulas que referenciam as abas anteriores. Alterar uma celula de entrada</t>
  </si>
  <si>
    <t>recalcula a MIP inteira.</t>
  </si>
  <si>
    <t>ATENCAO - a TRUR publicada e arredondada e nao fecha exatamente: ha folga</t>
  </si>
  <si>
    <t>de balanceamento de ate ~0,24 (R$ milhao) em Transporte e ~-0,04 em</t>
  </si>
  <si>
    <t>Eletricidade e gas. Essa folga e da fonte, nao do metodo, e reaparece nos</t>
  </si>
  <si>
    <t>erros da aba 19_Diagnostico. Ver a aba 04_Conferencias.</t>
  </si>
  <si>
    <t>O pessoal ocupado da aba 03 NAO vem da TRUR: e dado externo de emprego,</t>
  </si>
  <si>
    <t>copiado de vale_perobelli/MIP2018PI_12s.xlsx.</t>
  </si>
  <si>
    <t>===== VARIANTE DESTE ARQUIVO =====</t>
  </si>
  <si>
    <t>estoques mantidos na base</t>
  </si>
  <si>
    <t>A variacao de estoques PERMANECE em todas as bases. As exclusoes de exportacao seguem o metodo padrao. Como a variacao de estoques pode ser negativa na TRU, manter essa coluna pode encolher a base de alguns produtos - o efeito nao e uniforme.</t>
  </si>
  <si>
    <t>Bases usadas (colunas que ficam FORA):</t>
  </si>
  <si>
    <t xml:space="preserve">  margens     : sem excluir nenhuma coluna</t>
  </si>
  <si>
    <t xml:space="preserve">  impostos    : excluindo Exportacoes outros paises</t>
  </si>
  <si>
    <t xml:space="preserve">  importacoes : excluindo Exportacoes outros paises e Exportacoes outras UFs</t>
  </si>
  <si>
    <t>As tres variantes estao em mippi18_excel/ e sao geradas pelo mesmo script,</t>
  </si>
  <si>
    <t>mippi18_excel_variantes.R, mudando apenas essas tres linhas. Todo o resto</t>
  </si>
  <si>
    <t>das 28 abas e identico, para permitir a leitura lado a lado.</t>
  </si>
  <si>
    <t>Equivalente em R: MIPPI12_18/mippi12_18.R (apenas para a variante padrao).</t>
  </si>
  <si>
    <t>Comparacao das tres: mippi18_excel/mippi18_excel_compara.R</t>
  </si>
  <si>
    <t>Codigo - Produto</t>
  </si>
  <si>
    <t>01 - Agropecuária</t>
  </si>
  <si>
    <t>02 - Indústrias extrativas</t>
  </si>
  <si>
    <t>03 - Indústrias de transformação</t>
  </si>
  <si>
    <t>04 - Eletricidade e gás, água, esgoto e gestão de resíduos</t>
  </si>
  <si>
    <t>05 - Construção</t>
  </si>
  <si>
    <t>06 - Comércio</t>
  </si>
  <si>
    <t>07 - Transporte, armazenagem e correio</t>
  </si>
  <si>
    <t>08 - Informação e comunicação</t>
  </si>
  <si>
    <t>09 - Atividades financeiras, de seguros e serviços relacionados</t>
  </si>
  <si>
    <t>10 - Atividades imobiliárias</t>
  </si>
  <si>
    <t>11 - Outras atividades de serviços</t>
  </si>
  <si>
    <t>12 - Administração, defesa, saúde e educação públicas e seguridade social</t>
  </si>
  <si>
    <t>Total das atividades</t>
  </si>
  <si>
    <t>Importacoes de outros paises</t>
  </si>
  <si>
    <t>Importacoes de outras UFs</t>
  </si>
  <si>
    <t>Importacoes totais</t>
  </si>
  <si>
    <t>Oferta total a precos basicos</t>
  </si>
  <si>
    <t>Margem de comercio</t>
  </si>
  <si>
    <t>Margem de transporte</t>
  </si>
  <si>
    <t>Impostos liquidos sobre produtos</t>
  </si>
  <si>
    <t>Oferta total a precos de consumidor</t>
  </si>
  <si>
    <t>Total</t>
  </si>
  <si>
    <t>Producao do produto (soma das atividades)</t>
  </si>
  <si>
    <t>Exportacoes outros paises</t>
  </si>
  <si>
    <t>Exportacoes outras UFs</t>
  </si>
  <si>
    <t>Exportacoes totais</t>
  </si>
  <si>
    <t>Consumo do governo</t>
  </si>
  <si>
    <t>Consumo das familias</t>
  </si>
  <si>
    <t>Consumo das ISFLSF</t>
  </si>
  <si>
    <t>FBCF</t>
  </si>
  <si>
    <t>Variacao de estoques</t>
  </si>
  <si>
    <t>Demanda final</t>
  </si>
  <si>
    <t>Demanda total</t>
  </si>
  <si>
    <t>CI do produto (soma das atividades)</t>
  </si>
  <si>
    <t>Conta</t>
  </si>
  <si>
    <t>PIB regional (TRUR)</t>
  </si>
  <si>
    <t>Valor adicionado bruto</t>
  </si>
  <si>
    <t>Pessoal ocupado (dado externo - MIP2018PI_12s.xlsx, nao vem da TRUR)</t>
  </si>
  <si>
    <t>Valor adicionado bruto (total)</t>
  </si>
  <si>
    <t>PIB = VA + impostos</t>
  </si>
  <si>
    <t>PIB regional publicado na TRUR</t>
  </si>
  <si>
    <t>Diferenca</t>
  </si>
  <si>
    <t>ETAPA 6 - identidades da TRUR</t>
  </si>
  <si>
    <t>Identidade</t>
  </si>
  <si>
    <t>Erro maximo</t>
  </si>
  <si>
    <t>Tipo</t>
  </si>
  <si>
    <t>Producao do produto = soma das atividades que o produzem</t>
  </si>
  <si>
    <t>formula de matriz</t>
  </si>
  <si>
    <t>Importacao total = outros paises + outras UFs</t>
  </si>
  <si>
    <t>Oferta a precos basicos = producao + importacao total</t>
  </si>
  <si>
    <t>Oferta a precos de consumidor = basico + margens + impostos</t>
  </si>
  <si>
    <t>Exportacao total = outros paises + outras UFs</t>
  </si>
  <si>
    <t>CI do produto = soma das atividades que o consomem</t>
  </si>
  <si>
    <t>Demanda final = exportacao total + os 5 demais componentes</t>
  </si>
  <si>
    <t>Demanda total = CI total + demanda final</t>
  </si>
  <si>
    <t>Soma da coluna de margem de comercio = 0</t>
  </si>
  <si>
    <t>formula comum</t>
  </si>
  <si>
    <t>Soma da coluna de margem de transporte = 0</t>
  </si>
  <si>
    <t>Valor adicionado = producao da atividade - CI a precos de consumidor</t>
  </si>
  <si>
    <t>Folga da TRUR: demanda total - oferta a precos de consumidor</t>
  </si>
  <si>
    <t>(diferenca da fonte publicada, nao do metodo)</t>
  </si>
  <si>
    <t>ETAPA 8a - base das margens: sem excluir nenhuma coluna</t>
  </si>
  <si>
    <t>Produto \ Destino</t>
  </si>
  <si>
    <t>Total do produto</t>
  </si>
  <si>
    <t>ETAPA 8b - ALFA: cada celula dividida pelo total do produto</t>
  </si>
  <si>
    <t>Soma da linha (deve ser 1)</t>
  </si>
  <si>
    <t>ETAPA 9a - margem de Comercio embutida em cada celula (ALFA x margem do produto)</t>
  </si>
  <si>
    <t>Margem paga pelos produtos que NAO sao Comercio</t>
  </si>
  <si>
    <t>ETAPA 9b - matriz final: a linha de Comercio recebe a compensacao</t>
  </si>
  <si>
    <t>Conferencia: soma da coluna (deve ser 0)</t>
  </si>
  <si>
    <t>ETAPA 10a - margem de Transporte embutida em cada celula (ALFA x margem do produto)</t>
  </si>
  <si>
    <t>Margem paga pelos produtos que NAO sao Transporte</t>
  </si>
  <si>
    <t>ETAPA 10b - matriz final: a linha de Transporte recebe a compensacao</t>
  </si>
  <si>
    <t>ETAPA 11a - base tributavel: excluindo Exportacoes outros paises</t>
  </si>
  <si>
    <t>ETAPA 11b - ALFA da base tributavel</t>
  </si>
  <si>
    <t>ETAPA 11c - impostos liquidos distribuidos (ALFA x imposto do produto)</t>
  </si>
  <si>
    <t>Soma da linha</t>
  </si>
  <si>
    <t>Imposto do produto (TRUR)</t>
  </si>
  <si>
    <t>ETAPA 12a - base das importacoes: excluindo Exportacoes outros paises e Exportacoes outras UFs</t>
  </si>
  <si>
    <t>ETAPA 12b - ALFA da base sem exportacoes</t>
  </si>
  <si>
    <t>ETAPA 12c - importacoes de outras UFs distribuidas</t>
  </si>
  <si>
    <t>ETAPA 12d - importacoes de outros paises distribuidas</t>
  </si>
  <si>
    <t>ETAPA 12e - importacoes totais (outras UFs + outros paises)</t>
  </si>
  <si>
    <t>Importacao total do produto (TRUR)</t>
  </si>
  <si>
    <t>ETAPA 13a - usos a precos de consumidor (CI + demanda final completa)</t>
  </si>
  <si>
    <t>ETAPA 13b - usos a precos basicos = consumidor - margens - impostos - importacoes</t>
  </si>
  <si>
    <t>Producao do produto</t>
  </si>
  <si>
    <t>Celulas que ficaram negativas apos a passagem a precos basicos</t>
  </si>
  <si>
    <t>ETAPA 14 - matriz D: participacao de cada atividade na producao de cada produto</t>
  </si>
  <si>
    <t>Atividade \ Produto</t>
  </si>
  <si>
    <t>Conferencia: soma da coluna (deve ser 1)</t>
  </si>
  <si>
    <t>Setor</t>
  </si>
  <si>
    <t>Producao da atividade X (soma da coluna de 01_Recursos)</t>
  </si>
  <si>
    <t>Producao do produto q (soma da linha de 01_Recursos)</t>
  </si>
  <si>
    <t>Valor adicionado da TRUR</t>
  </si>
  <si>
    <t>ETAPA 16a - Bn: CI regional a precos basicos dividido pela producao da atividade</t>
  </si>
  <si>
    <t>Produto \ Atividade</t>
  </si>
  <si>
    <t>ETAPA 16b - matriz tecnica A = D x Bn (atividade x atividade)</t>
  </si>
  <si>
    <t>Atividade \ Atividade</t>
  </si>
  <si>
    <t>ETAPA 16c - fluxos intermediarios Z = A x diag(X)</t>
  </si>
  <si>
    <t>ETAPA 17 - demanda final por atividade Y = D x DF a precos basicos</t>
  </si>
  <si>
    <t>Atividade \ Componente</t>
  </si>
  <si>
    <t>ETAPA 18a - matriz (I - A)</t>
  </si>
  <si>
    <t>ETAPA 18b - inversa de Leontief L = (I - A)^-1, celula a celula com MINVERSE</t>
  </si>
  <si>
    <t>ETAPA 20 - impostos e importacoes pagos por cada destino</t>
  </si>
  <si>
    <t>Pagamento</t>
  </si>
  <si>
    <t>Impostos liquidos</t>
  </si>
  <si>
    <t>ETAPA 19 - diagnostico do resultado</t>
  </si>
  <si>
    <t>Verificacao</t>
  </si>
  <si>
    <t>Z = D x CI a precos basicos</t>
  </si>
  <si>
    <t>Y = D x DF a precos basicos</t>
  </si>
  <si>
    <t>X = soma das linhas de Z + Y</t>
  </si>
  <si>
    <t>Uso basico por produto = producao por produto</t>
  </si>
  <si>
    <t>VA da TRUR = X - CI a preco de consumidor</t>
  </si>
  <si>
    <t>Celulas negativas criadas pelo metodo</t>
  </si>
  <si>
    <t>Soma de Z</t>
  </si>
  <si>
    <t>PIB a precos de mercado</t>
  </si>
  <si>
    <t>Os dois primeiros erros sao algebra pura e ficam em ~1e-12.</t>
  </si>
  <si>
    <t>Os tres ultimos herdam a folga de balanceamento da TRUR publicada</t>
  </si>
  <si>
    <t>(ver 04_Conferencias): valores de ate ~0,3 sao da fonte, nao do metodo.</t>
  </si>
  <si>
    <t>Agro</t>
  </si>
  <si>
    <t>Ind.Extr</t>
  </si>
  <si>
    <t>Ind.Tran</t>
  </si>
  <si>
    <t>SIUP</t>
  </si>
  <si>
    <t>Cons</t>
  </si>
  <si>
    <t>Com</t>
  </si>
  <si>
    <t>Transp</t>
  </si>
  <si>
    <t>Info</t>
  </si>
  <si>
    <t>Finan</t>
  </si>
  <si>
    <t>Imob</t>
  </si>
  <si>
    <t>Otrs.Serv</t>
  </si>
  <si>
    <t>Adm</t>
  </si>
  <si>
    <t>Tabela 1 – Participação percentual do consumo intermediário e da demanda final no total
da produção na estrutura produtiva da economia do Piauí – 2018</t>
  </si>
  <si>
    <t>Setores</t>
  </si>
  <si>
    <t>CI
Total</t>
  </si>
  <si>
    <t>Demanda Final</t>
  </si>
  <si>
    <t>Base de cálculo</t>
  </si>
  <si>
    <t>Exportações
para outros
países</t>
  </si>
  <si>
    <t>Exportações
entre Unidades
da Federação</t>
  </si>
  <si>
    <t>Consumo
do governo</t>
  </si>
  <si>
    <t>Consumo
das famílias</t>
  </si>
  <si>
    <t>Consumo
das ISFLSF</t>
  </si>
  <si>
    <t>Formação bruta
de capital fixo</t>
  </si>
  <si>
    <t>Variação
de estoques</t>
  </si>
  <si>
    <t>Demanda
final</t>
  </si>
  <si>
    <t>Setor / componente</t>
  </si>
  <si>
    <t>Total CI + DF
(R$ milhões)</t>
  </si>
  <si>
    <t>Subtotal do CI</t>
  </si>
  <si>
    <t>Importações RM</t>
  </si>
  <si>
    <t>Importações RB</t>
  </si>
  <si>
    <t>Impostos líq. de subsídios</t>
  </si>
  <si>
    <t>Fonte: MIP 2018 estimada para Piauí.</t>
  </si>
  <si>
    <t>Percentuais normalizados por CI + demanda final de cada linha. O subtotal utiliza a soma dos valores monetários dos 12 setores, sem calcular média dos percentuais.</t>
  </si>
  <si>
    <t>RM: importações de outros países.</t>
  </si>
  <si>
    <t>RB: importações de outras UFs.</t>
  </si>
  <si>
    <t>Fontes: 15_Z, 16_Y e 18_Pagamentos.</t>
  </si>
  <si>
    <t>O total dos destinos pode diferir ligeiramente da produção X por arredondamentos da TRUR.</t>
  </si>
  <si>
    <t>Tabela 2 – Abertura do consumo intermediário por setor de destino – Piauí, 2018</t>
  </si>
  <si>
    <t>Consumo Intermediário (CI)</t>
  </si>
  <si>
    <t>Total
CI</t>
  </si>
  <si>
    <t>Ag</t>
  </si>
  <si>
    <t>Ie</t>
  </si>
  <si>
    <t>It</t>
  </si>
  <si>
    <t>Egr</t>
  </si>
  <si>
    <t>C</t>
  </si>
  <si>
    <t>Tr</t>
  </si>
  <si>
    <t>Ic</t>
  </si>
  <si>
    <t>Af</t>
  </si>
  <si>
    <t>Ai</t>
  </si>
  <si>
    <t>Os</t>
  </si>
  <si>
    <t>Apub</t>
  </si>
  <si>
    <t>Subtotal CI</t>
  </si>
  <si>
    <t>Nota: cada célula é uma porcentagem do total CI + demanda final de sua linha, com a mesma base da Tabela 1. O subtotal usa a soma dos valores monetários dos 12 setores. Diferenças nas somas exibidas podem decorrer do arredondamento.</t>
  </si>
  <si>
    <t>Negrito: maior parcela do CI em cada linha setorial, incluindo empates; subtotal e totais também destacados.</t>
  </si>
  <si>
    <t>Simulador simplificado de choque de demanda - MIP do Piauí, 2018</t>
  </si>
  <si>
    <t>Escolha um setor, informe o tamanho do choque e veja o efeito sobre a produção, o valor adicionado e o emprego de toda a economia. Altere apenas as células amarelas.</t>
  </si>
  <si>
    <t>Valores monetários em R$ milhões de 2018. Para conferir com o site, use as mesmas entradas nos dois e compare os resultados.</t>
  </si>
  <si>
    <t>ENTRADAS</t>
  </si>
  <si>
    <t>Opções da lista (não alterar)</t>
  </si>
  <si>
    <t>Valor em R$ milhões</t>
  </si>
  <si>
    <t>Percentual da demanda final</t>
  </si>
  <si>
    <t>1. Setor que recebe o choque</t>
  </si>
  <si>
    <t>2. Forma de informar o choque</t>
  </si>
  <si>
    <t>3. Tamanho do choque (use sinal negativo para redução)</t>
  </si>
  <si>
    <t>Demanda final do setor antes do choque (R$ milhões)</t>
  </si>
  <si>
    <t>Choque convertido em R$ milhões</t>
  </si>
  <si>
    <t>Demanda final do setor depois do choque (R$ milhões)</t>
  </si>
  <si>
    <t>RESULTADOS (compare com os cartões do site)</t>
  </si>
  <si>
    <t>Impacto total na produção (R$ milhões)</t>
  </si>
  <si>
    <t>Produção adicional em todos os setores: o choque inicial mais os efeitos em cadeia.</t>
  </si>
  <si>
    <t>Efeito indireto na produção (R$ milhões)</t>
  </si>
  <si>
    <t>Parte do impacto que vai além do choque inicial (compras de insumos entre os setores).</t>
  </si>
  <si>
    <t>Multiplicador de produção</t>
  </si>
  <si>
    <t>Quanto a economia produz, no total, para cada R$ 1 de demanda adicional no setor escolhido.</t>
  </si>
  <si>
    <t>Impacto total no VAB (R$ milhões)</t>
  </si>
  <si>
    <t>Valor adicionado bruto: salários, lucros e demais rendas gerados pela produção adicional.</t>
  </si>
  <si>
    <t>Impacto total no emprego (pessoas)</t>
  </si>
  <si>
    <t>Número estimado de pessoas ocupadas associado à produção adicional.</t>
  </si>
  <si>
    <t>Nome do setor</t>
  </si>
  <si>
    <t>Choque direto (R$ milhões)</t>
  </si>
  <si>
    <t>Coeficiente da inversa de Leontief</t>
  </si>
  <si>
    <t>Impacto na produção (R$ milhões)</t>
  </si>
  <si>
    <t>Impacto no VAB (R$ milhões)</t>
  </si>
  <si>
    <t>Impacto no emprego (pessoas)</t>
  </si>
  <si>
    <t>Participação no impacto</t>
  </si>
  <si>
    <t>Impacto / produção inicial do setor</t>
  </si>
  <si>
    <t>COMO LER</t>
  </si>
  <si>
    <t>Coeficiente da inversa de Leontief: quanto cada setor precisa produzir para atender R$ 1 a mais de demanda final do setor escolhido (efeitos diretos e indiretos).</t>
  </si>
  <si>
    <t>Impacto na produção = coeficiente x choque em R$ milhões.</t>
  </si>
  <si>
    <t>Impacto no VAB e no emprego = impacto na produção x (VAB ou pessoal ocupado por R$ 1 milhão produzido no setor).</t>
  </si>
  <si>
    <t>No site, a tabela aparece ordenada do maior para o menor impacto; aqui ela segue a ordem dos setores.</t>
  </si>
  <si>
    <t>Os resultados são efeitos contábeis de um modelo aberto de Leontief com coeficientes técnicos fixos. Não são previsões.</t>
  </si>
  <si>
    <t>Dados usados: abas 17_Leontief (inversa), x (produção), v (VAB), e (pessoal ocupado), y (demanda final) e set (nomes) desta planilha.</t>
  </si>
  <si>
    <t>22_Simulacao</t>
  </si>
  <si>
    <t>Simulador simplificado de choque de demanda (conferencia com o 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</si>
</sst>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0.0000"/>
  </numFmts>
  <fonts count="17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b/>
      <sz val="11"/>
      <color rgb="FF000000"/>
      <name val="Times New Roman"/>
    </font>
    <font>
      <b/>
      <i/>
      <sz val="11"/>
      <color rgb="FF000000"/>
      <name val="Times New Roman"/>
    </font>
    <font>
      <i/>
      <sz val="10"/>
      <color rgb="FF000000"/>
      <name val="Times New Roman"/>
    </font>
    <font>
      <sz val="10"/>
      <color rgb="FF000000"/>
      <name val="Times New Roman"/>
    </font>
    <font>
      <sz val="11"/>
      <color rgb="FF000000"/>
      <name val="Times New Roman"/>
    </font>
    <font>
      <sz val="14"/>
      <color rgb="FF000000"/>
      <name val="Times New Roman"/>
    </font>
    <font>
      <b/>
      <sz val="11"/>
      <color rgb="FF000000"/>
      <name val="Times New Roman"/>
    </font>
    <font>
      <b/>
      <i/>
      <sz val="11"/>
      <color rgb="FF000000"/>
      <name val="Times New Roman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none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4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</cellStyleXfs>
  <cellXfs count="6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2" borderId="2" xfId="1" applyFont="1" applyFill="1" applyBorder="1" applyAlignment="1">
      <alignment vertical="center"/>
    </xf>
    <xf numFmtId="0" fontId="3" fillId="3" borderId="4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vertical="center" wrapText="1"/>
    </xf>
    <xf numFmtId="164" fontId="3" fillId="2" borderId="2" xfId="1" applyNumberFormat="1" applyFont="1" applyFill="1" applyBorder="1" applyAlignment="1">
      <alignment horizontal="right" vertical="center"/>
    </xf>
    <xf numFmtId="165" fontId="3" fillId="2" borderId="2" xfId="1" applyNumberFormat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165" fontId="3" fillId="5" borderId="2" xfId="1" applyNumberFormat="1" applyFont="1" applyFill="1" applyBorder="1" applyAlignment="1">
      <alignment horizontal="center" vertical="center"/>
    </xf>
    <xf numFmtId="165" fontId="5" fillId="2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1" fontId="4" fillId="2" borderId="2" xfId="1" applyNumberFormat="1" applyFont="1" applyFill="1" applyBorder="1" applyAlignment="1">
      <alignment horizontal="center" vertical="center"/>
    </xf>
    <xf numFmtId="1" fontId="4" fillId="5" borderId="2" xfId="1" applyNumberFormat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vertical="center" wrapText="1"/>
    </xf>
    <xf numFmtId="165" fontId="5" fillId="2" borderId="5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vertical="center" wrapText="1"/>
    </xf>
    <xf numFmtId="165" fontId="5" fillId="5" borderId="3" xfId="1" applyNumberFormat="1" applyFont="1" applyFill="1" applyBorder="1" applyAlignment="1">
      <alignment horizontal="center" vertical="center"/>
    </xf>
    <xf numFmtId="165" fontId="3" fillId="5" borderId="3" xfId="1" applyNumberFormat="1" applyFont="1" applyFill="1" applyBorder="1" applyAlignment="1">
      <alignment horizontal="center" vertical="center"/>
    </xf>
    <xf numFmtId="1" fontId="4" fillId="5" borderId="3" xfId="1" applyNumberFormat="1" applyFont="1" applyFill="1" applyBorder="1" applyAlignment="1">
      <alignment horizontal="center" vertical="center"/>
    </xf>
    <xf numFmtId="0" fontId="8" fillId="6" borderId="6" xfId="2" applyFont="1" applyFill="1" applyBorder="1" applyAlignment="1">
      <alignment vertical="center"/>
    </xf>
    <xf numFmtId="0" fontId="8" fillId="7" borderId="8" xfId="2" applyFont="1" applyFill="1" applyBorder="1" applyAlignment="1">
      <alignment horizontal="center" vertical="center" wrapText="1"/>
    </xf>
    <xf numFmtId="0" fontId="8" fillId="6" borderId="6" xfId="2" applyFont="1" applyFill="1" applyBorder="1" applyAlignment="1">
      <alignment vertical="center" wrapText="1"/>
    </xf>
    <xf numFmtId="165" fontId="8" fillId="6" borderId="6" xfId="2" applyNumberFormat="1" applyFont="1" applyFill="1" applyBorder="1" applyAlignment="1">
      <alignment horizontal="center" vertical="center"/>
    </xf>
    <xf numFmtId="0" fontId="8" fillId="8" borderId="6" xfId="2" applyFont="1" applyFill="1" applyBorder="1" applyAlignment="1">
      <alignment vertical="center" wrapText="1"/>
    </xf>
    <xf numFmtId="165" fontId="8" fillId="8" borderId="6" xfId="2" applyNumberFormat="1" applyFont="1" applyFill="1" applyBorder="1" applyAlignment="1">
      <alignment horizontal="center" vertical="center"/>
    </xf>
    <xf numFmtId="165" fontId="11" fillId="6" borderId="6" xfId="2" applyNumberFormat="1" applyFont="1" applyFill="1" applyBorder="1" applyAlignment="1">
      <alignment horizontal="center" vertical="center"/>
    </xf>
    <xf numFmtId="165" fontId="11" fillId="8" borderId="6" xfId="2" applyNumberFormat="1" applyFont="1" applyFill="1" applyBorder="1" applyAlignment="1">
      <alignment horizontal="center" vertical="center"/>
    </xf>
    <xf numFmtId="0" fontId="11" fillId="6" borderId="9" xfId="2" applyFont="1" applyFill="1" applyBorder="1" applyAlignment="1">
      <alignment vertical="center" wrapText="1"/>
    </xf>
    <xf numFmtId="165" fontId="11" fillId="6" borderId="9" xfId="2" applyNumberFormat="1" applyFont="1" applyFill="1" applyBorder="1" applyAlignment="1">
      <alignment horizontal="center" vertical="center"/>
    </xf>
    <xf numFmtId="0" fontId="8" fillId="8" borderId="7" xfId="2" applyFont="1" applyFill="1" applyBorder="1" applyAlignment="1">
      <alignment vertical="center" wrapText="1"/>
    </xf>
    <xf numFmtId="165" fontId="8" fillId="8" borderId="7" xfId="2" applyNumberFormat="1" applyFont="1" applyFill="1" applyBorder="1" applyAlignment="1">
      <alignment horizontal="center" vertical="center"/>
    </xf>
    <xf numFmtId="165" fontId="11" fillId="8" borderId="7" xfId="2" applyNumberFormat="1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9" borderId="10" xfId="0" applyFill="1" applyBorder="1"/>
    <xf numFmtId="0" fontId="15" fillId="0" borderId="0" xfId="0" applyFont="1"/>
    <xf numFmtId="0" fontId="16" fillId="0" borderId="0" xfId="0" applyFont="1"/>
    <xf numFmtId="0" fontId="12" fillId="10" borderId="0" xfId="0" applyFont="1" applyFill="1" applyAlignment="1">
      <alignment vertical="center" wrapText="1"/>
    </xf>
    <xf numFmtId="0" fontId="12" fillId="0" borderId="11" xfId="0" applyFont="1" applyBorder="1"/>
    <xf numFmtId="4" fontId="0" fillId="0" borderId="0" xfId="0" applyNumberFormat="1"/>
    <xf numFmtId="4" fontId="12" fillId="0" borderId="10" xfId="0" applyNumberFormat="1" applyFont="1" applyBorder="1"/>
    <xf numFmtId="166" fontId="12" fillId="0" borderId="10" xfId="0" applyNumberFormat="1" applyFont="1" applyBorder="1"/>
    <xf numFmtId="4" fontId="12" fillId="0" borderId="11" xfId="0" applyNumberFormat="1" applyFont="1" applyBorder="1"/>
    <xf numFmtId="10" fontId="12" fillId="0" borderId="11" xfId="0" applyNumberFormat="1" applyFont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4" fillId="4" borderId="2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vertical="center"/>
    </xf>
    <xf numFmtId="0" fontId="6" fillId="2" borderId="2" xfId="1" applyFont="1" applyFill="1" applyBorder="1" applyAlignment="1">
      <alignment vertical="center" wrapText="1"/>
    </xf>
    <xf numFmtId="0" fontId="7" fillId="2" borderId="2" xfId="1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5" fillId="3" borderId="4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9" fillId="6" borderId="6" xfId="2" applyFont="1" applyFill="1" applyBorder="1" applyAlignment="1">
      <alignment horizontal="left" vertical="center" wrapText="1"/>
    </xf>
    <xf numFmtId="0" fontId="8" fillId="7" borderId="8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1" fillId="7" borderId="8" xfId="2" applyFont="1" applyFill="1" applyBorder="1" applyAlignment="1">
      <alignment horizontal="center" vertical="center" wrapText="1"/>
    </xf>
    <xf numFmtId="0" fontId="8" fillId="6" borderId="6" xfId="2" applyFont="1" applyFill="1" applyBorder="1" applyAlignment="1">
      <alignment vertical="center"/>
    </xf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workbookViewId="0">
      <selection activeCell="A45" sqref="A45"/>
    </sheetView>
  </sheetViews>
  <sheetFormatPr defaultColWidth="11.42578125" defaultRowHeight="15" x14ac:dyDescent="0.25"/>
  <cols>
    <col min="1" max="1" width="22.7109375" customWidth="1"/>
    <col min="2" max="3" width="64.7109375" customWidth="1"/>
  </cols>
  <sheetData>
    <row r="1" spans="1:2" ht="15.75" x14ac:dyDescent="0.25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282</v>
      </c>
      <c r="B24" t="s">
        <v>283</v>
      </c>
    </row>
    <row r="25" spans="1:2" x14ac:dyDescent="0.25">
      <c r="A25" t="s">
        <v>43</v>
      </c>
    </row>
    <row r="26" spans="1:2" x14ac:dyDescent="0.25">
      <c r="A26" t="s">
        <v>44</v>
      </c>
    </row>
    <row r="27" spans="1:2" x14ac:dyDescent="0.25">
      <c r="A27" t="s">
        <v>45</v>
      </c>
    </row>
    <row r="28" spans="1:2" x14ac:dyDescent="0.25">
      <c r="A28" t="s">
        <v>46</v>
      </c>
    </row>
    <row r="29" spans="1:2" x14ac:dyDescent="0.25">
      <c r="A29" t="s">
        <v>43</v>
      </c>
    </row>
    <row r="30" spans="1:2" x14ac:dyDescent="0.25">
      <c r="A30" t="s">
        <v>47</v>
      </c>
    </row>
    <row r="31" spans="1:2" x14ac:dyDescent="0.25">
      <c r="A31" t="s">
        <v>48</v>
      </c>
    </row>
    <row r="32" spans="1:2" x14ac:dyDescent="0.25">
      <c r="A32" t="s">
        <v>49</v>
      </c>
    </row>
    <row r="33" spans="1:1" x14ac:dyDescent="0.25">
      <c r="A33" t="s">
        <v>43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7" spans="1:1" x14ac:dyDescent="0.25">
      <c r="A37" t="s">
        <v>53</v>
      </c>
    </row>
    <row r="38" spans="1:1" x14ac:dyDescent="0.25">
      <c r="A38" t="s">
        <v>43</v>
      </c>
    </row>
    <row r="39" spans="1:1" x14ac:dyDescent="0.25">
      <c r="A39" t="s">
        <v>54</v>
      </c>
    </row>
    <row r="40" spans="1:1" x14ac:dyDescent="0.25">
      <c r="A40" t="s">
        <v>55</v>
      </c>
    </row>
    <row r="41" spans="1:1" x14ac:dyDescent="0.25">
      <c r="A41" t="s">
        <v>43</v>
      </c>
    </row>
    <row r="42" spans="1:1" x14ac:dyDescent="0.25">
      <c r="A42" t="s">
        <v>56</v>
      </c>
    </row>
    <row r="43" spans="1:1" x14ac:dyDescent="0.25">
      <c r="A43" t="s">
        <v>57</v>
      </c>
    </row>
    <row r="44" spans="1:1" x14ac:dyDescent="0.25">
      <c r="A44" t="s">
        <v>43</v>
      </c>
    </row>
    <row r="45" spans="1:1" x14ac:dyDescent="0.25">
      <c r="A45" t="s">
        <v>58</v>
      </c>
    </row>
    <row r="46" spans="1:1" x14ac:dyDescent="0.25">
      <c r="A46" t="s">
        <v>43</v>
      </c>
    </row>
    <row r="47" spans="1:1" x14ac:dyDescent="0.25">
      <c r="A47" t="s">
        <v>59</v>
      </c>
    </row>
    <row r="48" spans="1:1" x14ac:dyDescent="0.25">
      <c r="A48" t="s">
        <v>60</v>
      </c>
    </row>
    <row r="49" spans="1:1" x14ac:dyDescent="0.25">
      <c r="A49" t="s">
        <v>61</v>
      </c>
    </row>
    <row r="50" spans="1:1" x14ac:dyDescent="0.25">
      <c r="A50" t="s">
        <v>62</v>
      </c>
    </row>
    <row r="51" spans="1:1" x14ac:dyDescent="0.25">
      <c r="A51" t="s">
        <v>43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43</v>
      </c>
    </row>
    <row r="56" spans="1:1" x14ac:dyDescent="0.25">
      <c r="A56" t="s">
        <v>66</v>
      </c>
    </row>
    <row r="57" spans="1:1" x14ac:dyDescent="0.25">
      <c r="A57" t="s">
        <v>67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"/>
  <sheetViews>
    <sheetView workbookViewId="0">
      <selection sqref="A1:K2"/>
    </sheetView>
  </sheetViews>
  <sheetFormatPr defaultColWidth="11.42578125" defaultRowHeight="15" x14ac:dyDescent="0.25"/>
  <cols>
    <col min="1" max="1" width="44.7109375" customWidth="1"/>
    <col min="2" max="22" width="16.7109375" customWidth="1"/>
  </cols>
  <sheetData>
    <row r="1" spans="1:23" ht="90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91</v>
      </c>
    </row>
    <row r="2" spans="1:23" x14ac:dyDescent="0.25">
      <c r="A2" t="s">
        <v>69</v>
      </c>
      <c r="B2">
        <v>7330.2675282959399</v>
      </c>
      <c r="C2">
        <v>0</v>
      </c>
      <c r="D2">
        <v>0</v>
      </c>
      <c r="E2">
        <v>0</v>
      </c>
      <c r="F2">
        <v>0</v>
      </c>
      <c r="G2">
        <v>7.4694667125781899</v>
      </c>
      <c r="H2">
        <v>1.9708127120671001E-8</v>
      </c>
      <c r="I2">
        <v>0</v>
      </c>
      <c r="J2">
        <v>0</v>
      </c>
      <c r="K2">
        <v>0</v>
      </c>
      <c r="L2">
        <v>0</v>
      </c>
      <c r="M2">
        <v>9.7603730378848805</v>
      </c>
      <c r="N2">
        <v>7347.4973680661096</v>
      </c>
      <c r="O2">
        <v>150.07678676447699</v>
      </c>
      <c r="P2">
        <v>857.35858359999997</v>
      </c>
      <c r="Q2">
        <v>1007.43537036448</v>
      </c>
      <c r="R2">
        <v>8354.9327384305907</v>
      </c>
      <c r="S2">
        <v>821.81433003050302</v>
      </c>
      <c r="T2">
        <v>115</v>
      </c>
      <c r="U2">
        <v>133.139592427281</v>
      </c>
      <c r="V2">
        <v>9424.8866608883709</v>
      </c>
      <c r="W2">
        <f t="shared" ref="W2:W13" si="0">SUM(B2:M2)</f>
        <v>7347.4973680661105</v>
      </c>
    </row>
    <row r="3" spans="1:23" x14ac:dyDescent="0.25">
      <c r="A3" t="s">
        <v>70</v>
      </c>
      <c r="B3">
        <v>1.6090294703268599</v>
      </c>
      <c r="C3">
        <v>204.404917118165</v>
      </c>
      <c r="D3">
        <v>3.26441189604158</v>
      </c>
      <c r="E3">
        <v>0</v>
      </c>
      <c r="F3">
        <v>0</v>
      </c>
      <c r="G3">
        <v>2.64741430572954E-2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209.304832627591</v>
      </c>
      <c r="O3">
        <v>54.877082101933098</v>
      </c>
      <c r="P3">
        <v>28.152058</v>
      </c>
      <c r="Q3">
        <v>83.029140101933095</v>
      </c>
      <c r="R3">
        <v>292.33397272952402</v>
      </c>
      <c r="S3">
        <v>44.972681572978303</v>
      </c>
      <c r="T3">
        <v>53</v>
      </c>
      <c r="U3">
        <v>10.381148739947999</v>
      </c>
      <c r="V3">
        <v>400.68780304245001</v>
      </c>
      <c r="W3">
        <f t="shared" si="0"/>
        <v>209.30483262759077</v>
      </c>
    </row>
    <row r="4" spans="1:23" x14ac:dyDescent="0.25">
      <c r="A4" t="s">
        <v>71</v>
      </c>
      <c r="B4">
        <v>203.437945998016</v>
      </c>
      <c r="C4">
        <v>5.3762231792778499</v>
      </c>
      <c r="D4">
        <v>7957.9087132422601</v>
      </c>
      <c r="E4">
        <v>0</v>
      </c>
      <c r="F4">
        <v>4.2203579149056598E-2</v>
      </c>
      <c r="G4">
        <v>329.33826520097398</v>
      </c>
      <c r="H4">
        <v>2.7176470029556999E-8</v>
      </c>
      <c r="I4">
        <v>0</v>
      </c>
      <c r="J4">
        <v>0</v>
      </c>
      <c r="K4">
        <v>0</v>
      </c>
      <c r="L4">
        <v>4.9563602951205299</v>
      </c>
      <c r="M4">
        <v>0</v>
      </c>
      <c r="N4">
        <v>8501.0597115219807</v>
      </c>
      <c r="O4">
        <v>3703.1394465830599</v>
      </c>
      <c r="P4">
        <v>20567.142983829999</v>
      </c>
      <c r="Q4">
        <v>24270.282430413099</v>
      </c>
      <c r="R4">
        <v>32771.342141934998</v>
      </c>
      <c r="S4">
        <v>9823.7223350177192</v>
      </c>
      <c r="T4">
        <v>409</v>
      </c>
      <c r="U4">
        <v>3787.1141637782398</v>
      </c>
      <c r="V4">
        <v>46791.178640730999</v>
      </c>
      <c r="W4">
        <f t="shared" si="0"/>
        <v>8501.0597115219716</v>
      </c>
    </row>
    <row r="5" spans="1:23" x14ac:dyDescent="0.25">
      <c r="A5" t="s">
        <v>72</v>
      </c>
      <c r="B5">
        <v>0</v>
      </c>
      <c r="C5">
        <v>0</v>
      </c>
      <c r="D5">
        <v>0</v>
      </c>
      <c r="E5">
        <v>4035.2476373760601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7.5659239372032703</v>
      </c>
      <c r="N5">
        <v>4042.8135613132699</v>
      </c>
      <c r="O5">
        <v>48.494221962680498</v>
      </c>
      <c r="P5">
        <v>0</v>
      </c>
      <c r="Q5">
        <v>48.494221962680498</v>
      </c>
      <c r="R5">
        <v>4091.30778327595</v>
      </c>
      <c r="S5">
        <v>12.4471189044858</v>
      </c>
      <c r="T5">
        <v>0</v>
      </c>
      <c r="U5">
        <v>446.25605880449302</v>
      </c>
      <c r="V5">
        <v>4550.0109609849196</v>
      </c>
      <c r="W5">
        <f t="shared" si="0"/>
        <v>4042.8135613132636</v>
      </c>
    </row>
    <row r="6" spans="1:23" x14ac:dyDescent="0.25">
      <c r="A6" t="s">
        <v>73</v>
      </c>
      <c r="B6">
        <v>72.435669440134802</v>
      </c>
      <c r="C6">
        <v>0</v>
      </c>
      <c r="D6">
        <v>0</v>
      </c>
      <c r="E6">
        <v>0</v>
      </c>
      <c r="F6">
        <v>5699.7469315979497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5772.1826010380801</v>
      </c>
      <c r="O6">
        <v>24.528286620724501</v>
      </c>
      <c r="P6">
        <v>162.104747632895</v>
      </c>
      <c r="Q6">
        <v>186.63303425362</v>
      </c>
      <c r="R6">
        <v>5958.8156352917003</v>
      </c>
      <c r="S6">
        <v>0</v>
      </c>
      <c r="T6">
        <v>0</v>
      </c>
      <c r="U6">
        <v>156.40670557439401</v>
      </c>
      <c r="V6">
        <v>6115.2223408660902</v>
      </c>
      <c r="W6">
        <f t="shared" si="0"/>
        <v>5772.1826010380846</v>
      </c>
    </row>
    <row r="7" spans="1:23" x14ac:dyDescent="0.25">
      <c r="A7" t="s">
        <v>74</v>
      </c>
      <c r="B7">
        <v>0</v>
      </c>
      <c r="C7">
        <v>0.15464854506116399</v>
      </c>
      <c r="D7">
        <v>144.537657084372</v>
      </c>
      <c r="E7">
        <v>0</v>
      </c>
      <c r="F7">
        <v>0</v>
      </c>
      <c r="G7">
        <v>9502.0320088046501</v>
      </c>
      <c r="H7">
        <v>8.8637440899099893</v>
      </c>
      <c r="I7">
        <v>0</v>
      </c>
      <c r="J7">
        <v>0</v>
      </c>
      <c r="K7">
        <v>0</v>
      </c>
      <c r="L7">
        <v>18.060340018381801</v>
      </c>
      <c r="M7">
        <v>4.6352190619326601</v>
      </c>
      <c r="N7">
        <v>9678.2836176043002</v>
      </c>
      <c r="O7">
        <v>5.9770328570569902</v>
      </c>
      <c r="P7">
        <v>1920.10441428698</v>
      </c>
      <c r="Q7">
        <v>1926.0814471440401</v>
      </c>
      <c r="R7">
        <v>11604.365064748299</v>
      </c>
      <c r="S7">
        <v>-10795.1321329001</v>
      </c>
      <c r="T7">
        <v>0</v>
      </c>
      <c r="U7">
        <v>7.96991686505487</v>
      </c>
      <c r="V7">
        <v>817.20284871332296</v>
      </c>
      <c r="W7">
        <f t="shared" si="0"/>
        <v>9678.2836176043074</v>
      </c>
    </row>
    <row r="8" spans="1:23" x14ac:dyDescent="0.25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10.1193566719672</v>
      </c>
      <c r="H8">
        <v>2554.4040684341198</v>
      </c>
      <c r="I8">
        <v>0</v>
      </c>
      <c r="J8">
        <v>0</v>
      </c>
      <c r="K8">
        <v>0</v>
      </c>
      <c r="L8">
        <v>0</v>
      </c>
      <c r="M8">
        <v>20.128201216544198</v>
      </c>
      <c r="N8">
        <v>2584.6516263226299</v>
      </c>
      <c r="O8">
        <v>101.342552585996</v>
      </c>
      <c r="P8">
        <v>669.19815773831601</v>
      </c>
      <c r="Q8">
        <v>770.54071032431295</v>
      </c>
      <c r="R8">
        <v>3355.19233664695</v>
      </c>
      <c r="S8">
        <v>0</v>
      </c>
      <c r="T8">
        <v>-577</v>
      </c>
      <c r="U8">
        <v>155.83236408670601</v>
      </c>
      <c r="V8">
        <v>2934.0247007336502</v>
      </c>
      <c r="W8">
        <f t="shared" si="0"/>
        <v>2584.6516263226313</v>
      </c>
    </row>
    <row r="9" spans="1:23" x14ac:dyDescent="0.25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2.9691885014692501</v>
      </c>
      <c r="H9">
        <v>0.72354300048723896</v>
      </c>
      <c r="I9">
        <v>1487.4988924740601</v>
      </c>
      <c r="J9">
        <v>4.5618035066109401</v>
      </c>
      <c r="K9">
        <v>0</v>
      </c>
      <c r="L9">
        <v>0.74261610850223403</v>
      </c>
      <c r="M9">
        <v>2.7694278486213699</v>
      </c>
      <c r="N9">
        <v>1499.2654714397499</v>
      </c>
      <c r="O9">
        <v>107.672911256117</v>
      </c>
      <c r="P9">
        <v>301.76273355138602</v>
      </c>
      <c r="Q9">
        <v>409.43564480750302</v>
      </c>
      <c r="R9">
        <v>1908.70111624725</v>
      </c>
      <c r="S9">
        <v>92.175667374383494</v>
      </c>
      <c r="T9">
        <v>0</v>
      </c>
      <c r="U9">
        <v>233.56791795584701</v>
      </c>
      <c r="V9">
        <v>2234.4447015774799</v>
      </c>
      <c r="W9">
        <f t="shared" si="0"/>
        <v>1499.2654714397511</v>
      </c>
    </row>
    <row r="10" spans="1:23" x14ac:dyDescent="0.25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2294.6362244400698</v>
      </c>
      <c r="K10">
        <v>0</v>
      </c>
      <c r="L10">
        <v>0</v>
      </c>
      <c r="M10">
        <v>0</v>
      </c>
      <c r="N10">
        <v>2294.6362244400698</v>
      </c>
      <c r="O10">
        <v>181.23457537682199</v>
      </c>
      <c r="P10">
        <v>3363.8075674056399</v>
      </c>
      <c r="Q10">
        <v>3545.0421427824599</v>
      </c>
      <c r="R10">
        <v>5839.6783672225301</v>
      </c>
      <c r="S10">
        <v>0</v>
      </c>
      <c r="T10">
        <v>0</v>
      </c>
      <c r="U10">
        <v>251.38189051942899</v>
      </c>
      <c r="V10">
        <v>6091.0602577419604</v>
      </c>
      <c r="W10">
        <f t="shared" si="0"/>
        <v>2294.6362244400698</v>
      </c>
    </row>
    <row r="11" spans="1:23" x14ac:dyDescent="0.25">
      <c r="A11" t="s">
        <v>78</v>
      </c>
      <c r="B11">
        <v>0.74844446182006996</v>
      </c>
      <c r="C11">
        <v>0.37618642189873902</v>
      </c>
      <c r="D11">
        <v>39.7630459099069</v>
      </c>
      <c r="E11">
        <v>56.730128749839999</v>
      </c>
      <c r="F11">
        <v>3.87168481482562</v>
      </c>
      <c r="G11">
        <v>35.8624644318053</v>
      </c>
      <c r="H11">
        <v>8.2852157238239208</v>
      </c>
      <c r="I11">
        <v>0.14100971533156101</v>
      </c>
      <c r="J11">
        <v>42.153476032133298</v>
      </c>
      <c r="K11">
        <v>4028.73384596802</v>
      </c>
      <c r="L11">
        <v>36.6839713533737</v>
      </c>
      <c r="M11">
        <v>7.22736422973363</v>
      </c>
      <c r="N11">
        <v>4260.5768378125103</v>
      </c>
      <c r="O11">
        <v>28.815290777670601</v>
      </c>
      <c r="P11">
        <v>174.95249370686099</v>
      </c>
      <c r="Q11">
        <v>203.76778448453101</v>
      </c>
      <c r="R11">
        <v>4464.3446222970397</v>
      </c>
      <c r="S11">
        <v>0</v>
      </c>
      <c r="T11">
        <v>0</v>
      </c>
      <c r="U11">
        <v>2.0969491240348899</v>
      </c>
      <c r="V11">
        <v>4466.44157142108</v>
      </c>
      <c r="W11">
        <f t="shared" si="0"/>
        <v>4260.5768378125122</v>
      </c>
    </row>
    <row r="12" spans="1:23" x14ac:dyDescent="0.25">
      <c r="A12" t="s">
        <v>79</v>
      </c>
      <c r="B12">
        <v>0.28381576612614701</v>
      </c>
      <c r="C12">
        <v>0</v>
      </c>
      <c r="D12">
        <v>0.13173536027228899</v>
      </c>
      <c r="E12">
        <v>4.2530853765566798E-4</v>
      </c>
      <c r="F12">
        <v>3.4308161964735402</v>
      </c>
      <c r="G12">
        <v>64.207561929280601</v>
      </c>
      <c r="H12">
        <v>81.278273073528894</v>
      </c>
      <c r="I12">
        <v>0.11119787541461</v>
      </c>
      <c r="J12">
        <v>6.8485015015624402</v>
      </c>
      <c r="K12">
        <v>0</v>
      </c>
      <c r="L12">
        <v>9488.5008596352109</v>
      </c>
      <c r="M12">
        <v>285.73385027178603</v>
      </c>
      <c r="N12">
        <v>9930.5270369181908</v>
      </c>
      <c r="O12">
        <v>868.589609228982</v>
      </c>
      <c r="P12">
        <v>4256.3661977434504</v>
      </c>
      <c r="Q12">
        <v>5124.9558069724299</v>
      </c>
      <c r="R12">
        <v>15055.482843890601</v>
      </c>
      <c r="S12">
        <v>0</v>
      </c>
      <c r="T12">
        <v>0</v>
      </c>
      <c r="U12">
        <v>499.86887528891202</v>
      </c>
      <c r="V12">
        <v>15555.3517191795</v>
      </c>
      <c r="W12">
        <f t="shared" si="0"/>
        <v>9930.5270369181944</v>
      </c>
    </row>
    <row r="13" spans="1:23" x14ac:dyDescent="0.25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19314.5449209535</v>
      </c>
      <c r="N13">
        <v>19314.5449209535</v>
      </c>
      <c r="O13">
        <v>0</v>
      </c>
      <c r="P13">
        <v>422.67170853339798</v>
      </c>
      <c r="Q13">
        <v>422.67170853339798</v>
      </c>
      <c r="R13">
        <v>19737.216629486898</v>
      </c>
      <c r="S13">
        <v>0</v>
      </c>
      <c r="T13">
        <v>0</v>
      </c>
      <c r="U13">
        <v>0</v>
      </c>
      <c r="V13">
        <v>19737.216629486898</v>
      </c>
      <c r="W13">
        <f t="shared" si="0"/>
        <v>19314.5449209535</v>
      </c>
    </row>
    <row r="15" spans="1:23" x14ac:dyDescent="0.25">
      <c r="A15" s="3" t="s">
        <v>90</v>
      </c>
      <c r="B15">
        <f t="shared" ref="B15:V15" si="1">SUM(B2:B13)</f>
        <v>7608.782433432365</v>
      </c>
      <c r="C15">
        <f t="shared" si="1"/>
        <v>210.31197526440275</v>
      </c>
      <c r="D15">
        <f t="shared" si="1"/>
        <v>8145.6055634928534</v>
      </c>
      <c r="E15">
        <f t="shared" si="1"/>
        <v>4091.9781914344376</v>
      </c>
      <c r="F15">
        <f t="shared" si="1"/>
        <v>5707.0916361883983</v>
      </c>
      <c r="G15">
        <f t="shared" si="1"/>
        <v>9952.0247863957829</v>
      </c>
      <c r="H15">
        <f t="shared" si="1"/>
        <v>2653.5548443687544</v>
      </c>
      <c r="I15">
        <f t="shared" si="1"/>
        <v>1487.7511000648062</v>
      </c>
      <c r="J15">
        <f t="shared" si="1"/>
        <v>2348.2000054803766</v>
      </c>
      <c r="K15">
        <f t="shared" si="1"/>
        <v>4028.73384596802</v>
      </c>
      <c r="L15">
        <f t="shared" si="1"/>
        <v>9548.9441474105897</v>
      </c>
      <c r="M15">
        <f t="shared" si="1"/>
        <v>19652.365280557206</v>
      </c>
      <c r="N15">
        <f t="shared" si="1"/>
        <v>75435.343810057966</v>
      </c>
      <c r="O15">
        <f t="shared" si="1"/>
        <v>5274.74779611552</v>
      </c>
      <c r="P15">
        <f t="shared" si="1"/>
        <v>32723.621646028925</v>
      </c>
      <c r="Q15">
        <f t="shared" si="1"/>
        <v>37998.369442144482</v>
      </c>
      <c r="R15">
        <f t="shared" si="1"/>
        <v>113433.71325220232</v>
      </c>
      <c r="S15">
        <f t="shared" si="1"/>
        <v>-3.134914550173562E-11</v>
      </c>
      <c r="T15">
        <f t="shared" si="1"/>
        <v>0</v>
      </c>
      <c r="U15">
        <f t="shared" si="1"/>
        <v>5684.0155831643406</v>
      </c>
      <c r="V15">
        <f t="shared" si="1"/>
        <v>119117.72883536671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Y15"/>
  <sheetViews>
    <sheetView topLeftCell="N1" workbookViewId="0">
      <selection activeCell="P2" sqref="P2:P13"/>
    </sheetView>
  </sheetViews>
  <sheetFormatPr defaultColWidth="11.42578125" defaultRowHeight="15" x14ac:dyDescent="0.25"/>
  <cols>
    <col min="1" max="1" width="44.7109375" customWidth="1"/>
    <col min="2" max="24" width="16.7109375" customWidth="1"/>
  </cols>
  <sheetData>
    <row r="1" spans="1:25" ht="90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92</v>
      </c>
      <c r="P1" s="2" t="s">
        <v>93</v>
      </c>
      <c r="Q1" s="2" t="s">
        <v>94</v>
      </c>
      <c r="R1" s="2" t="s">
        <v>95</v>
      </c>
      <c r="S1" s="2" t="s">
        <v>96</v>
      </c>
      <c r="T1" s="2" t="s">
        <v>97</v>
      </c>
      <c r="U1" s="2" t="s">
        <v>98</v>
      </c>
      <c r="V1" s="2" t="s">
        <v>99</v>
      </c>
      <c r="W1" s="2" t="s">
        <v>100</v>
      </c>
      <c r="X1" s="2" t="s">
        <v>101</v>
      </c>
      <c r="Y1" s="2" t="s">
        <v>102</v>
      </c>
    </row>
    <row r="2" spans="1:25" x14ac:dyDescent="0.25">
      <c r="A2" t="s">
        <v>69</v>
      </c>
      <c r="B2">
        <v>336.52786208779497</v>
      </c>
      <c r="C2">
        <v>1.1701408296572E-2</v>
      </c>
      <c r="D2">
        <v>1591.7223227582399</v>
      </c>
      <c r="E2">
        <v>0.26582576900311899</v>
      </c>
      <c r="F2">
        <v>9.9470537267168506</v>
      </c>
      <c r="G2">
        <v>63.9396149052954</v>
      </c>
      <c r="H2">
        <v>0</v>
      </c>
      <c r="I2">
        <v>0</v>
      </c>
      <c r="J2">
        <v>0</v>
      </c>
      <c r="K2">
        <v>0</v>
      </c>
      <c r="L2">
        <v>67.900903271681699</v>
      </c>
      <c r="M2">
        <v>45.176743069672597</v>
      </c>
      <c r="N2">
        <v>2115.4920269967001</v>
      </c>
      <c r="O2">
        <v>2073.7753802310999</v>
      </c>
      <c r="P2">
        <v>1269.61828126404</v>
      </c>
      <c r="Q2">
        <v>3343.3936614951399</v>
      </c>
      <c r="R2">
        <v>1.2191883475752801</v>
      </c>
      <c r="S2">
        <v>2973.5572391238602</v>
      </c>
      <c r="T2">
        <v>0</v>
      </c>
      <c r="U2">
        <v>167.61782749635799</v>
      </c>
      <c r="V2">
        <v>823.60671742873296</v>
      </c>
      <c r="W2">
        <v>7309.3946338916703</v>
      </c>
      <c r="X2">
        <v>9424.8866608883709</v>
      </c>
      <c r="Y2">
        <f t="shared" ref="Y2:Y13" si="0">SUM(B2:M2)</f>
        <v>2115.492026996701</v>
      </c>
    </row>
    <row r="3" spans="1:25" x14ac:dyDescent="0.25">
      <c r="A3" t="s">
        <v>70</v>
      </c>
      <c r="B3">
        <v>8.2404913965596105</v>
      </c>
      <c r="C3">
        <v>4.6488867134724297</v>
      </c>
      <c r="D3">
        <v>139.613544946948</v>
      </c>
      <c r="E3">
        <v>3.7427616028833</v>
      </c>
      <c r="F3">
        <v>94.724711481709306</v>
      </c>
      <c r="G3">
        <v>0.50844480848562801</v>
      </c>
      <c r="H3">
        <v>4.2845705373246203E-3</v>
      </c>
      <c r="I3">
        <v>0</v>
      </c>
      <c r="J3">
        <v>0</v>
      </c>
      <c r="K3">
        <v>5.5097788515392798</v>
      </c>
      <c r="L3">
        <v>0.38179759668732299</v>
      </c>
      <c r="M3">
        <v>1.88268242056318</v>
      </c>
      <c r="N3">
        <v>259.25738438938498</v>
      </c>
      <c r="O3">
        <v>3.3882648635055199</v>
      </c>
      <c r="P3">
        <v>81.848675079307398</v>
      </c>
      <c r="Q3">
        <v>85.236939942812896</v>
      </c>
      <c r="R3">
        <v>0</v>
      </c>
      <c r="S3">
        <v>0</v>
      </c>
      <c r="T3">
        <v>0</v>
      </c>
      <c r="U3">
        <v>0</v>
      </c>
      <c r="V3">
        <v>56.1934787102523</v>
      </c>
      <c r="W3">
        <v>141.430418653065</v>
      </c>
      <c r="X3">
        <v>400.68780304245001</v>
      </c>
      <c r="Y3">
        <f t="shared" si="0"/>
        <v>259.25738438938532</v>
      </c>
    </row>
    <row r="4" spans="1:25" x14ac:dyDescent="0.25">
      <c r="A4" t="s">
        <v>71</v>
      </c>
      <c r="B4">
        <v>2378.5486898015802</v>
      </c>
      <c r="C4">
        <v>61.142098012972099</v>
      </c>
      <c r="D4">
        <v>3685.83646339912</v>
      </c>
      <c r="E4">
        <v>427.42519834221702</v>
      </c>
      <c r="F4">
        <v>2067.76786789262</v>
      </c>
      <c r="G4">
        <v>943.80323356858503</v>
      </c>
      <c r="H4">
        <v>788.92036297579898</v>
      </c>
      <c r="I4">
        <v>64.884883567173802</v>
      </c>
      <c r="J4">
        <v>32.678772119681803</v>
      </c>
      <c r="K4">
        <v>54.5654361069858</v>
      </c>
      <c r="L4">
        <v>1245.99194478904</v>
      </c>
      <c r="M4">
        <v>994.02563356996495</v>
      </c>
      <c r="N4">
        <v>12745.590584145701</v>
      </c>
      <c r="O4">
        <v>546.53567353606297</v>
      </c>
      <c r="P4">
        <v>5170.1451374799999</v>
      </c>
      <c r="Q4">
        <v>5716.68081101606</v>
      </c>
      <c r="R4">
        <v>114.718215444213</v>
      </c>
      <c r="S4">
        <v>23647.9173696746</v>
      </c>
      <c r="T4">
        <v>0</v>
      </c>
      <c r="U4">
        <v>2369.6668666956102</v>
      </c>
      <c r="V4">
        <v>2196.60479375472</v>
      </c>
      <c r="W4">
        <v>34045.588056585199</v>
      </c>
      <c r="X4">
        <v>46791.178640730897</v>
      </c>
      <c r="Y4">
        <f t="shared" si="0"/>
        <v>12745.590584145742</v>
      </c>
    </row>
    <row r="5" spans="1:25" x14ac:dyDescent="0.25">
      <c r="A5" t="s">
        <v>72</v>
      </c>
      <c r="B5">
        <v>154.809366555791</v>
      </c>
      <c r="C5">
        <v>7.90090801956591</v>
      </c>
      <c r="D5">
        <v>136.96591306237801</v>
      </c>
      <c r="E5">
        <v>1480.31032106818</v>
      </c>
      <c r="F5">
        <v>11.009585069440501</v>
      </c>
      <c r="G5">
        <v>255.58089371484701</v>
      </c>
      <c r="H5">
        <v>26.111448652576598</v>
      </c>
      <c r="I5">
        <v>21.7408198111474</v>
      </c>
      <c r="J5">
        <v>12.939322968687</v>
      </c>
      <c r="K5">
        <v>7.1191336024782901</v>
      </c>
      <c r="L5">
        <v>216.795454781638</v>
      </c>
      <c r="M5">
        <v>382.08586875998299</v>
      </c>
      <c r="N5">
        <v>2713.3690360667101</v>
      </c>
      <c r="O5">
        <v>0</v>
      </c>
      <c r="P5">
        <v>613.90951930323195</v>
      </c>
      <c r="Q5">
        <v>613.90951930323195</v>
      </c>
      <c r="R5">
        <v>0</v>
      </c>
      <c r="S5">
        <v>1221.0253289923301</v>
      </c>
      <c r="T5">
        <v>0</v>
      </c>
      <c r="U5">
        <v>0</v>
      </c>
      <c r="V5">
        <v>1.6716120161960799</v>
      </c>
      <c r="W5">
        <v>1836.60646031176</v>
      </c>
      <c r="X5">
        <v>4549.9754963784699</v>
      </c>
      <c r="Y5">
        <f t="shared" si="0"/>
        <v>2713.3690360667124</v>
      </c>
    </row>
    <row r="6" spans="1:25" x14ac:dyDescent="0.25">
      <c r="A6" t="s">
        <v>73</v>
      </c>
      <c r="B6">
        <v>3.8224894700507401</v>
      </c>
      <c r="C6">
        <v>1.37870858359182E-2</v>
      </c>
      <c r="D6">
        <v>2.2642450320687599</v>
      </c>
      <c r="E6">
        <v>79.022219936396397</v>
      </c>
      <c r="F6">
        <v>705.14022689724504</v>
      </c>
      <c r="G6">
        <v>11.1773027672429</v>
      </c>
      <c r="H6">
        <v>8.35128226357015</v>
      </c>
      <c r="I6">
        <v>33.955800793082702</v>
      </c>
      <c r="J6">
        <v>4.90871633923574</v>
      </c>
      <c r="K6">
        <v>10.536413625734101</v>
      </c>
      <c r="L6">
        <v>24.8511412899181</v>
      </c>
      <c r="M6">
        <v>362.99378963273199</v>
      </c>
      <c r="N6">
        <v>1247.03741513311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4868.1849257329804</v>
      </c>
      <c r="V6">
        <v>0</v>
      </c>
      <c r="W6">
        <v>4868.1849257329804</v>
      </c>
      <c r="X6">
        <v>6115.2223408660902</v>
      </c>
      <c r="Y6">
        <f t="shared" si="0"/>
        <v>1247.0374151331125</v>
      </c>
    </row>
    <row r="7" spans="1:25" x14ac:dyDescent="0.25">
      <c r="A7" t="s">
        <v>74</v>
      </c>
      <c r="B7">
        <v>4.0645390550857901</v>
      </c>
      <c r="C7">
        <v>0.19920343047224801</v>
      </c>
      <c r="D7">
        <v>78.202411974315197</v>
      </c>
      <c r="E7">
        <v>12.2186878263197</v>
      </c>
      <c r="F7">
        <v>5.2675481991244197</v>
      </c>
      <c r="G7">
        <v>70.4502463916713</v>
      </c>
      <c r="H7">
        <v>46.636503993822302</v>
      </c>
      <c r="I7">
        <v>23.572887513037099</v>
      </c>
      <c r="J7">
        <v>0.47196287636393303</v>
      </c>
      <c r="K7">
        <v>0.125092000758671</v>
      </c>
      <c r="L7">
        <v>12.265165493107601</v>
      </c>
      <c r="M7">
        <v>53.081126598793901</v>
      </c>
      <c r="N7">
        <v>306.55537535287198</v>
      </c>
      <c r="O7">
        <v>26.9946915061625</v>
      </c>
      <c r="P7">
        <v>0</v>
      </c>
      <c r="Q7">
        <v>26.9946915061625</v>
      </c>
      <c r="R7">
        <v>0</v>
      </c>
      <c r="S7">
        <v>483.65278185428701</v>
      </c>
      <c r="T7">
        <v>0</v>
      </c>
      <c r="U7">
        <v>0</v>
      </c>
      <c r="V7">
        <v>0</v>
      </c>
      <c r="W7">
        <v>510.647473360449</v>
      </c>
      <c r="X7">
        <v>817.20284871332103</v>
      </c>
      <c r="Y7">
        <f t="shared" si="0"/>
        <v>306.55537535287215</v>
      </c>
    </row>
    <row r="8" spans="1:25" x14ac:dyDescent="0.25">
      <c r="A8" t="s">
        <v>75</v>
      </c>
      <c r="B8">
        <v>112.141697401282</v>
      </c>
      <c r="C8">
        <v>6.2334089637218604</v>
      </c>
      <c r="D8">
        <v>405.32122266080302</v>
      </c>
      <c r="E8">
        <v>22.468710014106598</v>
      </c>
      <c r="F8">
        <v>35.013467060950397</v>
      </c>
      <c r="G8">
        <v>475.61402259142699</v>
      </c>
      <c r="H8">
        <v>304.93612906100498</v>
      </c>
      <c r="I8">
        <v>11.000164689110401</v>
      </c>
      <c r="J8">
        <v>27.967707167177601</v>
      </c>
      <c r="K8">
        <v>1.89571896949818</v>
      </c>
      <c r="L8">
        <v>133.12582008821499</v>
      </c>
      <c r="M8">
        <v>205.00274571753499</v>
      </c>
      <c r="N8">
        <v>1740.72081438483</v>
      </c>
      <c r="O8">
        <v>16</v>
      </c>
      <c r="P8">
        <v>0</v>
      </c>
      <c r="Q8">
        <v>16</v>
      </c>
      <c r="R8">
        <v>0</v>
      </c>
      <c r="S8">
        <v>1177.53971521121</v>
      </c>
      <c r="T8">
        <v>0</v>
      </c>
      <c r="U8">
        <v>0</v>
      </c>
      <c r="V8">
        <v>0</v>
      </c>
      <c r="W8">
        <v>1193.53971521121</v>
      </c>
      <c r="X8">
        <v>2934.2605295960402</v>
      </c>
      <c r="Y8">
        <f t="shared" si="0"/>
        <v>1740.720814384832</v>
      </c>
    </row>
    <row r="9" spans="1:25" x14ac:dyDescent="0.25">
      <c r="A9" t="s">
        <v>76</v>
      </c>
      <c r="B9">
        <v>0.61710296671491105</v>
      </c>
      <c r="C9">
        <v>0.22864688595515301</v>
      </c>
      <c r="D9">
        <v>48.776090369683601</v>
      </c>
      <c r="E9">
        <v>41.137019475786303</v>
      </c>
      <c r="F9">
        <v>16.744160541878902</v>
      </c>
      <c r="G9">
        <v>154.23642369179601</v>
      </c>
      <c r="H9">
        <v>31.785982494555501</v>
      </c>
      <c r="I9">
        <v>261.46493528264301</v>
      </c>
      <c r="J9">
        <v>105.334870012037</v>
      </c>
      <c r="K9">
        <v>5.9821948507348601</v>
      </c>
      <c r="L9">
        <v>204.745248382743</v>
      </c>
      <c r="M9">
        <v>399.41456080928702</v>
      </c>
      <c r="N9">
        <v>1270.4672357638201</v>
      </c>
      <c r="O9">
        <v>2.6752357825443198</v>
      </c>
      <c r="P9">
        <v>26.678261132863199</v>
      </c>
      <c r="Q9">
        <v>29.353496915407501</v>
      </c>
      <c r="R9">
        <v>0</v>
      </c>
      <c r="S9">
        <v>824.84629881757905</v>
      </c>
      <c r="T9">
        <v>0</v>
      </c>
      <c r="U9">
        <v>110.23355285272</v>
      </c>
      <c r="V9">
        <v>-0.45588277204264499</v>
      </c>
      <c r="W9">
        <v>963.97746581366403</v>
      </c>
      <c r="X9">
        <v>2234.4447015774799</v>
      </c>
      <c r="Y9">
        <f t="shared" si="0"/>
        <v>1270.4672357638153</v>
      </c>
    </row>
    <row r="10" spans="1:25" x14ac:dyDescent="0.25">
      <c r="A10" t="s">
        <v>77</v>
      </c>
      <c r="B10">
        <v>130.45602910459701</v>
      </c>
      <c r="C10">
        <v>7.3087876835066297</v>
      </c>
      <c r="D10">
        <v>183.00486253247701</v>
      </c>
      <c r="E10">
        <v>130.82104580946</v>
      </c>
      <c r="F10">
        <v>96.771951022856697</v>
      </c>
      <c r="G10">
        <v>246.23947708153301</v>
      </c>
      <c r="H10">
        <v>71.125788900151406</v>
      </c>
      <c r="I10">
        <v>66.780516006326394</v>
      </c>
      <c r="J10">
        <v>366.11924793560598</v>
      </c>
      <c r="K10">
        <v>153.22607182788801</v>
      </c>
      <c r="L10">
        <v>148.85236381338899</v>
      </c>
      <c r="M10">
        <v>670.49075713163495</v>
      </c>
      <c r="N10">
        <v>2271.19689884943</v>
      </c>
      <c r="O10">
        <v>8.4055003505666299</v>
      </c>
      <c r="P10">
        <v>0</v>
      </c>
      <c r="Q10">
        <v>8.4055003505666299</v>
      </c>
      <c r="R10">
        <v>7.7394704998347601</v>
      </c>
      <c r="S10">
        <v>3803.7185631505899</v>
      </c>
      <c r="T10">
        <v>0</v>
      </c>
      <c r="U10">
        <v>0</v>
      </c>
      <c r="V10">
        <v>0</v>
      </c>
      <c r="W10">
        <v>3819.8635340010001</v>
      </c>
      <c r="X10">
        <v>6091.0604328504196</v>
      </c>
      <c r="Y10">
        <f t="shared" si="0"/>
        <v>2271.1968988494259</v>
      </c>
    </row>
    <row r="11" spans="1:25" x14ac:dyDescent="0.25">
      <c r="A11" t="s">
        <v>78</v>
      </c>
      <c r="B11">
        <v>0.235033528815382</v>
      </c>
      <c r="C11">
        <v>0.45746480887650998</v>
      </c>
      <c r="D11">
        <v>21.746612009043002</v>
      </c>
      <c r="E11">
        <v>23.239619233035601</v>
      </c>
      <c r="F11">
        <v>13.5603236994473</v>
      </c>
      <c r="G11">
        <v>369.934055889511</v>
      </c>
      <c r="H11">
        <v>45.167672550011503</v>
      </c>
      <c r="I11">
        <v>25.297465222122501</v>
      </c>
      <c r="J11">
        <v>22.641904663160101</v>
      </c>
      <c r="K11">
        <v>12.5900156711271</v>
      </c>
      <c r="L11">
        <v>189.571113492389</v>
      </c>
      <c r="M11">
        <v>52.578598793027297</v>
      </c>
      <c r="N11">
        <v>777.01987956056701</v>
      </c>
      <c r="O11">
        <v>0</v>
      </c>
      <c r="P11">
        <v>3.8794981497461101</v>
      </c>
      <c r="Q11">
        <v>3.8794981497461101</v>
      </c>
      <c r="R11">
        <v>0</v>
      </c>
      <c r="S11">
        <v>3685.5421937107699</v>
      </c>
      <c r="T11">
        <v>0</v>
      </c>
      <c r="U11">
        <v>0</v>
      </c>
      <c r="V11">
        <v>0</v>
      </c>
      <c r="W11">
        <v>3689.4216918605098</v>
      </c>
      <c r="X11">
        <v>4466.44157142108</v>
      </c>
      <c r="Y11">
        <f t="shared" si="0"/>
        <v>777.01987956056621</v>
      </c>
    </row>
    <row r="12" spans="1:25" x14ac:dyDescent="0.25">
      <c r="A12" t="s">
        <v>79</v>
      </c>
      <c r="B12">
        <v>42.118355261147798</v>
      </c>
      <c r="C12">
        <v>12.5275283731147</v>
      </c>
      <c r="D12">
        <v>458.775294532864</v>
      </c>
      <c r="E12">
        <v>286.225364882863</v>
      </c>
      <c r="F12">
        <v>178.98604140696301</v>
      </c>
      <c r="G12">
        <v>998.88510419587396</v>
      </c>
      <c r="H12">
        <v>184.47088773079801</v>
      </c>
      <c r="I12">
        <v>338.46967536547601</v>
      </c>
      <c r="J12">
        <v>261.46514673152001</v>
      </c>
      <c r="K12">
        <v>34.804536694565797</v>
      </c>
      <c r="L12">
        <v>903.45327233683497</v>
      </c>
      <c r="M12">
        <v>1594.0539851707999</v>
      </c>
      <c r="N12">
        <v>5294.2351926828196</v>
      </c>
      <c r="O12">
        <v>39.490347986295099</v>
      </c>
      <c r="P12">
        <v>213.005483454559</v>
      </c>
      <c r="Q12">
        <v>252.495831440854</v>
      </c>
      <c r="R12">
        <v>564.58528967384598</v>
      </c>
      <c r="S12">
        <v>8822.4346965681198</v>
      </c>
      <c r="T12">
        <v>462.88319809283797</v>
      </c>
      <c r="U12">
        <v>158.717510721054</v>
      </c>
      <c r="V12">
        <v>0</v>
      </c>
      <c r="W12">
        <v>10261.1165264967</v>
      </c>
      <c r="X12">
        <v>15555.3517191795</v>
      </c>
      <c r="Y12">
        <f t="shared" si="0"/>
        <v>5294.2351926828214</v>
      </c>
    </row>
    <row r="13" spans="1:25" x14ac:dyDescent="0.25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19737.216629487699</v>
      </c>
      <c r="S13">
        <v>0</v>
      </c>
      <c r="T13">
        <v>0</v>
      </c>
      <c r="U13">
        <v>0</v>
      </c>
      <c r="V13">
        <v>0</v>
      </c>
      <c r="W13">
        <v>19737.216629487699</v>
      </c>
      <c r="X13">
        <v>19737.216629487699</v>
      </c>
      <c r="Y13">
        <f t="shared" si="0"/>
        <v>0</v>
      </c>
    </row>
    <row r="15" spans="1:25" x14ac:dyDescent="0.25">
      <c r="A15" s="3" t="s">
        <v>90</v>
      </c>
      <c r="B15">
        <f t="shared" ref="B15:X15" si="1">SUM(B2:B13)</f>
        <v>3171.5816566294184</v>
      </c>
      <c r="C15">
        <f t="shared" si="1"/>
        <v>100.67242138579003</v>
      </c>
      <c r="D15">
        <f t="shared" si="1"/>
        <v>6752.2289832779406</v>
      </c>
      <c r="E15">
        <f t="shared" si="1"/>
        <v>2506.8767739602508</v>
      </c>
      <c r="F15">
        <f t="shared" si="1"/>
        <v>3234.9329369989532</v>
      </c>
      <c r="G15">
        <f t="shared" si="1"/>
        <v>3590.3688196062685</v>
      </c>
      <c r="H15">
        <f t="shared" si="1"/>
        <v>1507.5103431928269</v>
      </c>
      <c r="I15">
        <f t="shared" si="1"/>
        <v>847.16714825011934</v>
      </c>
      <c r="J15">
        <f t="shared" si="1"/>
        <v>834.52765081346911</v>
      </c>
      <c r="K15">
        <f t="shared" si="1"/>
        <v>286.35439220131008</v>
      </c>
      <c r="L15">
        <f t="shared" si="1"/>
        <v>3147.9342253356435</v>
      </c>
      <c r="M15">
        <f t="shared" si="1"/>
        <v>4760.7864916739936</v>
      </c>
      <c r="N15">
        <f t="shared" si="1"/>
        <v>30740.941843325945</v>
      </c>
      <c r="O15">
        <f t="shared" si="1"/>
        <v>2717.2650942562368</v>
      </c>
      <c r="P15">
        <f t="shared" si="1"/>
        <v>7379.0848558637472</v>
      </c>
      <c r="Q15">
        <f t="shared" si="1"/>
        <v>10096.349950119984</v>
      </c>
      <c r="R15">
        <f t="shared" si="1"/>
        <v>20425.478793453167</v>
      </c>
      <c r="S15">
        <f t="shared" si="1"/>
        <v>46640.234187103342</v>
      </c>
      <c r="T15">
        <f t="shared" si="1"/>
        <v>462.88319809283797</v>
      </c>
      <c r="U15">
        <f t="shared" si="1"/>
        <v>7674.4206834987226</v>
      </c>
      <c r="V15">
        <f t="shared" si="1"/>
        <v>3077.6207191378589</v>
      </c>
      <c r="W15">
        <f t="shared" si="1"/>
        <v>88376.987531405917</v>
      </c>
      <c r="X15">
        <f t="shared" si="1"/>
        <v>119117.9293747318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"/>
  <sheetViews>
    <sheetView workbookViewId="0">
      <selection activeCell="A3" sqref="A3"/>
    </sheetView>
  </sheetViews>
  <sheetFormatPr defaultColWidth="11.42578125" defaultRowHeight="15" x14ac:dyDescent="0.25"/>
  <cols>
    <col min="1" max="1" width="44.7109375" customWidth="1"/>
    <col min="2" max="15" width="16.7109375" customWidth="1"/>
  </cols>
  <sheetData>
    <row r="1" spans="1:15" ht="90" x14ac:dyDescent="0.25">
      <c r="A1" s="2" t="s">
        <v>103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90</v>
      </c>
      <c r="O1" s="2" t="s">
        <v>104</v>
      </c>
    </row>
    <row r="2" spans="1:15" x14ac:dyDescent="0.25">
      <c r="A2" t="s">
        <v>105</v>
      </c>
      <c r="B2">
        <v>4437.2007768029498</v>
      </c>
      <c r="C2">
        <v>109.639553878613</v>
      </c>
      <c r="D2">
        <v>1393.3765802149201</v>
      </c>
      <c r="E2">
        <v>1585.1014174741899</v>
      </c>
      <c r="F2">
        <v>2472.1586991894401</v>
      </c>
      <c r="G2">
        <v>6361.6559667895099</v>
      </c>
      <c r="H2">
        <v>1146.04450117593</v>
      </c>
      <c r="I2">
        <v>640.583951814682</v>
      </c>
      <c r="J2">
        <v>1513.67235466691</v>
      </c>
      <c r="K2">
        <v>3742.37945376671</v>
      </c>
      <c r="L2">
        <v>6401.0099220749398</v>
      </c>
      <c r="M2">
        <v>14891.5787888832</v>
      </c>
      <c r="N2">
        <v>44694.401966732003</v>
      </c>
      <c r="O2">
        <v>50378.417549896301</v>
      </c>
    </row>
    <row r="3" spans="1:15" x14ac:dyDescent="0.25">
      <c r="A3" t="s">
        <v>106</v>
      </c>
      <c r="B3">
        <v>243000</v>
      </c>
      <c r="C3">
        <v>1392</v>
      </c>
      <c r="D3">
        <v>65289</v>
      </c>
      <c r="E3">
        <v>4319</v>
      </c>
      <c r="F3">
        <v>94000</v>
      </c>
      <c r="G3">
        <v>259000</v>
      </c>
      <c r="H3">
        <v>47000</v>
      </c>
      <c r="I3">
        <v>35550</v>
      </c>
      <c r="J3">
        <v>33763</v>
      </c>
      <c r="K3">
        <v>12688</v>
      </c>
      <c r="L3">
        <v>192000</v>
      </c>
      <c r="M3">
        <v>240000</v>
      </c>
    </row>
    <row r="5" spans="1:15" x14ac:dyDescent="0.25">
      <c r="A5" s="3" t="s">
        <v>107</v>
      </c>
      <c r="B5">
        <f>N2</f>
        <v>44694.401966732003</v>
      </c>
    </row>
    <row r="6" spans="1:15" x14ac:dyDescent="0.25">
      <c r="A6" s="3" t="s">
        <v>88</v>
      </c>
      <c r="B6">
        <f>'01_Recursos'!$U$15</f>
        <v>5684.0155831643406</v>
      </c>
    </row>
    <row r="7" spans="1:15" x14ac:dyDescent="0.25">
      <c r="A7" s="3" t="s">
        <v>108</v>
      </c>
      <c r="B7">
        <f>B5+B6</f>
        <v>50378.417549896345</v>
      </c>
    </row>
    <row r="8" spans="1:15" x14ac:dyDescent="0.25">
      <c r="A8" s="3" t="s">
        <v>109</v>
      </c>
      <c r="B8">
        <f>O2</f>
        <v>50378.417549896301</v>
      </c>
    </row>
    <row r="9" spans="1:15" x14ac:dyDescent="0.25">
      <c r="A9" s="3" t="s">
        <v>110</v>
      </c>
      <c r="B9">
        <f>B7-B8</f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8"/>
  <sheetViews>
    <sheetView topLeftCell="A11" workbookViewId="0">
      <selection activeCell="B25" sqref="B25"/>
    </sheetView>
  </sheetViews>
  <sheetFormatPr defaultColWidth="11.42578125" defaultRowHeight="15" x14ac:dyDescent="0.25"/>
  <cols>
    <col min="1" max="1" width="66.7109375" customWidth="1"/>
    <col min="2" max="3" width="18.7109375" customWidth="1"/>
  </cols>
  <sheetData>
    <row r="1" spans="1:3" ht="15.75" x14ac:dyDescent="0.25">
      <c r="A1" s="1" t="s">
        <v>111</v>
      </c>
    </row>
    <row r="2" spans="1:3" x14ac:dyDescent="0.25">
      <c r="A2" s="2" t="s">
        <v>112</v>
      </c>
      <c r="B2" s="2" t="s">
        <v>113</v>
      </c>
      <c r="C2" s="2" t="s">
        <v>114</v>
      </c>
    </row>
    <row r="3" spans="1:3" x14ac:dyDescent="0.25">
      <c r="A3" t="s">
        <v>115</v>
      </c>
      <c r="B3">
        <f t="array" ref="B3">MAX(ABS('01_Recursos'!$N$2:$N$13-'01_Recursos'!$W$2:$W$13))</f>
        <v>9.0949470177292824E-12</v>
      </c>
      <c r="C3" t="s">
        <v>116</v>
      </c>
    </row>
    <row r="4" spans="1:3" x14ac:dyDescent="0.25">
      <c r="A4" t="s">
        <v>117</v>
      </c>
      <c r="B4">
        <f t="array" ref="B4">MAX(ABS('01_Recursos'!$Q$2:$Q$13-('01_Recursos'!$O$2:$O$13+'01_Recursos'!$P$2:$P$13)))</f>
        <v>4.0017766878008842E-11</v>
      </c>
      <c r="C4" t="s">
        <v>116</v>
      </c>
    </row>
    <row r="5" spans="1:3" x14ac:dyDescent="0.25">
      <c r="A5" t="s">
        <v>118</v>
      </c>
      <c r="B5">
        <f t="array" ref="B5">MAX(ABS('01_Recursos'!$R$2:$R$13-('01_Recursos'!$N$2:$N$13+'01_Recursos'!$Q$2:$Q$13)))</f>
        <v>8.0035533756017685E-11</v>
      </c>
      <c r="C5" t="s">
        <v>116</v>
      </c>
    </row>
    <row r="6" spans="1:3" x14ac:dyDescent="0.25">
      <c r="A6" t="s">
        <v>119</v>
      </c>
      <c r="B6">
        <f t="array" ref="B6">MAX(ABS('01_Recursos'!$V$2:$V$13-('01_Recursos'!$R$2:$R$13+'01_Recursos'!$S$2:$S$13+'01_Recursos'!$T$2:$T$13+'01_Recursos'!$U$2:$U$13)))</f>
        <v>6.9235284172464162E-11</v>
      </c>
      <c r="C6" t="s">
        <v>116</v>
      </c>
    </row>
    <row r="7" spans="1:3" x14ac:dyDescent="0.25">
      <c r="A7" t="s">
        <v>120</v>
      </c>
      <c r="B7">
        <f t="array" ref="B7">MAX(ABS('02_Usos'!$Q$2:$Q$13-('02_Usos'!$O$2:$O$13+'02_Usos'!$P$2:$P$13)))</f>
        <v>2.7284841053187847E-12</v>
      </c>
      <c r="C7" t="s">
        <v>116</v>
      </c>
    </row>
    <row r="8" spans="1:3" x14ac:dyDescent="0.25">
      <c r="A8" t="s">
        <v>121</v>
      </c>
      <c r="B8">
        <f t="array" ref="B8">MAX(ABS('02_Usos'!$N$2:$N$13-'02_Usos'!$Y$2:$Y$13))</f>
        <v>4.1836756281554699E-11</v>
      </c>
      <c r="C8" t="s">
        <v>116</v>
      </c>
    </row>
    <row r="9" spans="1:3" x14ac:dyDescent="0.25">
      <c r="A9" t="s">
        <v>122</v>
      </c>
      <c r="B9">
        <f t="array" ref="B9">MAX(ABS('02_Usos'!$W$2:$W$13-('02_Usos'!$Q$2:$Q$13+'02_Usos'!$R$2:$R$13+'02_Usos'!$S$2:$S$13+'02_Usos'!$T$2:$T$13+'02_Usos'!$U$2:$U$13+'02_Usos'!$V$2:$V$13)))</f>
        <v>9.0949470177292824E-12</v>
      </c>
      <c r="C9" t="s">
        <v>116</v>
      </c>
    </row>
    <row r="10" spans="1:3" x14ac:dyDescent="0.25">
      <c r="A10" t="s">
        <v>123</v>
      </c>
      <c r="B10">
        <f t="array" ref="B10">MAX(ABS('02_Usos'!$X$2:$X$13-('02_Usos'!$N$2:$N$13+'02_Usos'!$W$2:$W$13)))</f>
        <v>2.0008883439004421E-11</v>
      </c>
      <c r="C10" t="s">
        <v>116</v>
      </c>
    </row>
    <row r="11" spans="1:3" x14ac:dyDescent="0.25">
      <c r="A11" t="s">
        <v>124</v>
      </c>
      <c r="B11">
        <f>ABS(SUM('01_Recursos'!$S$2:$S$13))</f>
        <v>3.134914550173562E-11</v>
      </c>
      <c r="C11" t="s">
        <v>125</v>
      </c>
    </row>
    <row r="12" spans="1:3" x14ac:dyDescent="0.25">
      <c r="A12" t="s">
        <v>126</v>
      </c>
      <c r="B12">
        <f>ABS(SUM('01_Recursos'!$T$2:$T$13))</f>
        <v>0</v>
      </c>
      <c r="C12" t="s">
        <v>125</v>
      </c>
    </row>
    <row r="13" spans="1:3" x14ac:dyDescent="0.25">
      <c r="A13" t="s">
        <v>127</v>
      </c>
      <c r="B13">
        <f t="array" ref="B13">MAX(ABS('03_VA'!$B$2:$M$2-('01_Recursos'!$B$15:$M$15-'02_Usos'!$B$15:$M$15)))</f>
        <v>1.2732925824820995E-11</v>
      </c>
      <c r="C13" t="s">
        <v>116</v>
      </c>
    </row>
    <row r="15" spans="1:3" ht="15.75" x14ac:dyDescent="0.25">
      <c r="A15" s="1" t="s">
        <v>128</v>
      </c>
    </row>
    <row r="16" spans="1:3" x14ac:dyDescent="0.25">
      <c r="A16" t="s">
        <v>129</v>
      </c>
    </row>
    <row r="17" spans="1:2" x14ac:dyDescent="0.25">
      <c r="A17" t="s">
        <v>69</v>
      </c>
      <c r="B17">
        <f>'02_Usos'!$X$2-'01_Recursos'!$V$2</f>
        <v>0</v>
      </c>
    </row>
    <row r="18" spans="1:2" x14ac:dyDescent="0.25">
      <c r="A18" t="s">
        <v>70</v>
      </c>
      <c r="B18">
        <f>'02_Usos'!$X$3-'01_Recursos'!$V$3</f>
        <v>0</v>
      </c>
    </row>
    <row r="19" spans="1:2" x14ac:dyDescent="0.25">
      <c r="A19" t="s">
        <v>71</v>
      </c>
      <c r="B19">
        <f>'02_Usos'!$X$4-'01_Recursos'!$V$4</f>
        <v>-1.0186340659856796E-10</v>
      </c>
    </row>
    <row r="20" spans="1:2" x14ac:dyDescent="0.25">
      <c r="A20" t="s">
        <v>72</v>
      </c>
      <c r="B20">
        <f>'02_Usos'!$X$5-'01_Recursos'!$V$5</f>
        <v>-3.5464606449750136E-2</v>
      </c>
    </row>
    <row r="21" spans="1:2" x14ac:dyDescent="0.25">
      <c r="A21" t="s">
        <v>73</v>
      </c>
      <c r="B21">
        <f>'02_Usos'!$X$6-'01_Recursos'!$V$6</f>
        <v>0</v>
      </c>
    </row>
    <row r="22" spans="1:2" x14ac:dyDescent="0.25">
      <c r="A22" t="s">
        <v>74</v>
      </c>
      <c r="B22">
        <f>'02_Usos'!$X$7-'01_Recursos'!$V$7</f>
        <v>-1.9326762412674725E-12</v>
      </c>
    </row>
    <row r="23" spans="1:2" x14ac:dyDescent="0.25">
      <c r="A23" t="s">
        <v>75</v>
      </c>
      <c r="B23">
        <f>'02_Usos'!$X$8-'01_Recursos'!$V$8</f>
        <v>0.235828862390008</v>
      </c>
    </row>
    <row r="24" spans="1:2" x14ac:dyDescent="0.25">
      <c r="A24" t="s">
        <v>76</v>
      </c>
      <c r="B24">
        <f>'02_Usos'!$X$9-'01_Recursos'!$V$9</f>
        <v>0</v>
      </c>
    </row>
    <row r="25" spans="1:2" x14ac:dyDescent="0.25">
      <c r="A25" t="s">
        <v>77</v>
      </c>
      <c r="B25">
        <f>'02_Usos'!$X$10-'01_Recursos'!$V$10</f>
        <v>1.7510845918877749E-4</v>
      </c>
    </row>
    <row r="26" spans="1:2" x14ac:dyDescent="0.25">
      <c r="A26" t="s">
        <v>78</v>
      </c>
      <c r="B26">
        <f>'02_Usos'!$X$11-'01_Recursos'!$V$11</f>
        <v>0</v>
      </c>
    </row>
    <row r="27" spans="1:2" x14ac:dyDescent="0.25">
      <c r="A27" t="s">
        <v>79</v>
      </c>
      <c r="B27">
        <f>'02_Usos'!$X$12-'01_Recursos'!$V$12</f>
        <v>0</v>
      </c>
    </row>
    <row r="28" spans="1:2" x14ac:dyDescent="0.25">
      <c r="A28" t="s">
        <v>80</v>
      </c>
      <c r="B28">
        <f>'02_Usos'!$X$13-'01_Recursos'!$V$13</f>
        <v>8.0035533756017685E-10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9"/>
  <sheetViews>
    <sheetView topLeftCell="L17" workbookViewId="0">
      <selection activeCell="B26" sqref="B26"/>
    </sheetView>
  </sheetViews>
  <sheetFormatPr defaultColWidth="11.42578125" defaultRowHeight="15" x14ac:dyDescent="0.25"/>
  <cols>
    <col min="1" max="1" width="44.7109375" customWidth="1"/>
    <col min="2" max="24" width="16.7109375" customWidth="1"/>
  </cols>
  <sheetData>
    <row r="1" spans="1:21" ht="15.75" x14ac:dyDescent="0.25">
      <c r="A1" s="1" t="s">
        <v>130</v>
      </c>
    </row>
    <row r="2" spans="1:21" ht="90" x14ac:dyDescent="0.25">
      <c r="A2" s="2" t="s">
        <v>131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92</v>
      </c>
      <c r="O2" s="2" t="s">
        <v>93</v>
      </c>
      <c r="P2" s="2" t="s">
        <v>95</v>
      </c>
      <c r="Q2" s="2" t="s">
        <v>96</v>
      </c>
      <c r="R2" s="2" t="s">
        <v>97</v>
      </c>
      <c r="S2" s="2" t="s">
        <v>98</v>
      </c>
      <c r="T2" s="2" t="s">
        <v>99</v>
      </c>
      <c r="U2" s="2" t="s">
        <v>132</v>
      </c>
    </row>
    <row r="3" spans="1:21" x14ac:dyDescent="0.25">
      <c r="A3" t="s">
        <v>69</v>
      </c>
      <c r="B3">
        <f>'02_Usos'!$B$2</f>
        <v>336.52786208779497</v>
      </c>
      <c r="C3">
        <f>'02_Usos'!$C$2</f>
        <v>1.1701408296572E-2</v>
      </c>
      <c r="D3">
        <f>'02_Usos'!$D$2</f>
        <v>1591.7223227582399</v>
      </c>
      <c r="E3">
        <f>'02_Usos'!$E$2</f>
        <v>0.26582576900311899</v>
      </c>
      <c r="F3">
        <f>'02_Usos'!$F$2</f>
        <v>9.9470537267168506</v>
      </c>
      <c r="G3">
        <f>'02_Usos'!$G$2</f>
        <v>63.9396149052954</v>
      </c>
      <c r="H3">
        <f>'02_Usos'!$H$2</f>
        <v>0</v>
      </c>
      <c r="I3">
        <f>'02_Usos'!$I$2</f>
        <v>0</v>
      </c>
      <c r="J3">
        <f>'02_Usos'!$J$2</f>
        <v>0</v>
      </c>
      <c r="K3">
        <f>'02_Usos'!$K$2</f>
        <v>0</v>
      </c>
      <c r="L3">
        <f>'02_Usos'!$L$2</f>
        <v>67.900903271681699</v>
      </c>
      <c r="M3">
        <f>'02_Usos'!$M$2</f>
        <v>45.176743069672597</v>
      </c>
      <c r="N3">
        <f>'02_Usos'!$O$2</f>
        <v>2073.7753802310999</v>
      </c>
      <c r="O3">
        <f>'02_Usos'!$P$2</f>
        <v>1269.61828126404</v>
      </c>
      <c r="P3">
        <f>'02_Usos'!$R$2</f>
        <v>1.2191883475752801</v>
      </c>
      <c r="Q3">
        <f>'02_Usos'!$S$2</f>
        <v>2973.5572391238602</v>
      </c>
      <c r="R3">
        <f>'02_Usos'!$T$2</f>
        <v>0</v>
      </c>
      <c r="S3">
        <f>'02_Usos'!$U$2</f>
        <v>167.61782749635799</v>
      </c>
      <c r="T3">
        <f>'02_Usos'!$V$2</f>
        <v>823.60671742873296</v>
      </c>
      <c r="U3">
        <f t="shared" ref="U3:U14" si="0">SUM(B3:T3)</f>
        <v>9424.8866608883673</v>
      </c>
    </row>
    <row r="4" spans="1:21" x14ac:dyDescent="0.25">
      <c r="A4" t="s">
        <v>70</v>
      </c>
      <c r="B4">
        <f>'02_Usos'!$B$3</f>
        <v>8.2404913965596105</v>
      </c>
      <c r="C4">
        <f>'02_Usos'!$C$3</f>
        <v>4.6488867134724297</v>
      </c>
      <c r="D4">
        <f>'02_Usos'!$D$3</f>
        <v>139.613544946948</v>
      </c>
      <c r="E4">
        <f>'02_Usos'!$E$3</f>
        <v>3.7427616028833</v>
      </c>
      <c r="F4">
        <f>'02_Usos'!$F$3</f>
        <v>94.724711481709306</v>
      </c>
      <c r="G4">
        <f>'02_Usos'!$G$3</f>
        <v>0.50844480848562801</v>
      </c>
      <c r="H4">
        <f>'02_Usos'!$H$3</f>
        <v>4.2845705373246203E-3</v>
      </c>
      <c r="I4">
        <f>'02_Usos'!$I$3</f>
        <v>0</v>
      </c>
      <c r="J4">
        <f>'02_Usos'!$J$3</f>
        <v>0</v>
      </c>
      <c r="K4">
        <f>'02_Usos'!$K$3</f>
        <v>5.5097788515392798</v>
      </c>
      <c r="L4">
        <f>'02_Usos'!$L$3</f>
        <v>0.38179759668732299</v>
      </c>
      <c r="M4">
        <f>'02_Usos'!$M$3</f>
        <v>1.88268242056318</v>
      </c>
      <c r="N4">
        <f>'02_Usos'!$O$3</f>
        <v>3.3882648635055199</v>
      </c>
      <c r="O4">
        <f>'02_Usos'!$P$3</f>
        <v>81.848675079307398</v>
      </c>
      <c r="P4">
        <f>'02_Usos'!$R$3</f>
        <v>0</v>
      </c>
      <c r="Q4">
        <f>'02_Usos'!$S$3</f>
        <v>0</v>
      </c>
      <c r="R4">
        <f>'02_Usos'!$T$3</f>
        <v>0</v>
      </c>
      <c r="S4">
        <f>'02_Usos'!$U$3</f>
        <v>0</v>
      </c>
      <c r="T4">
        <f>'02_Usos'!$V$3</f>
        <v>56.1934787102523</v>
      </c>
      <c r="U4">
        <f t="shared" si="0"/>
        <v>400.68780304245053</v>
      </c>
    </row>
    <row r="5" spans="1:21" x14ac:dyDescent="0.25">
      <c r="A5" t="s">
        <v>71</v>
      </c>
      <c r="B5">
        <f>'02_Usos'!$B$4</f>
        <v>2378.5486898015802</v>
      </c>
      <c r="C5">
        <f>'02_Usos'!$C$4</f>
        <v>61.142098012972099</v>
      </c>
      <c r="D5">
        <f>'02_Usos'!$D$4</f>
        <v>3685.83646339912</v>
      </c>
      <c r="E5">
        <f>'02_Usos'!$E$4</f>
        <v>427.42519834221702</v>
      </c>
      <c r="F5">
        <f>'02_Usos'!$F$4</f>
        <v>2067.76786789262</v>
      </c>
      <c r="G5">
        <f>'02_Usos'!$G$4</f>
        <v>943.80323356858503</v>
      </c>
      <c r="H5">
        <f>'02_Usos'!$H$4</f>
        <v>788.92036297579898</v>
      </c>
      <c r="I5">
        <f>'02_Usos'!$I$4</f>
        <v>64.884883567173802</v>
      </c>
      <c r="J5">
        <f>'02_Usos'!$J$4</f>
        <v>32.678772119681803</v>
      </c>
      <c r="K5">
        <f>'02_Usos'!$K$4</f>
        <v>54.5654361069858</v>
      </c>
      <c r="L5">
        <f>'02_Usos'!$L$4</f>
        <v>1245.99194478904</v>
      </c>
      <c r="M5">
        <f>'02_Usos'!$M$4</f>
        <v>994.02563356996495</v>
      </c>
      <c r="N5">
        <f>'02_Usos'!$O$4</f>
        <v>546.53567353606297</v>
      </c>
      <c r="O5">
        <f>'02_Usos'!$P$4</f>
        <v>5170.1451374799999</v>
      </c>
      <c r="P5">
        <f>'02_Usos'!$R$4</f>
        <v>114.718215444213</v>
      </c>
      <c r="Q5">
        <f>'02_Usos'!$S$4</f>
        <v>23647.9173696746</v>
      </c>
      <c r="R5">
        <f>'02_Usos'!$T$4</f>
        <v>0</v>
      </c>
      <c r="S5">
        <f>'02_Usos'!$U$4</f>
        <v>2369.6668666956102</v>
      </c>
      <c r="T5">
        <f>'02_Usos'!$V$4</f>
        <v>2196.60479375472</v>
      </c>
      <c r="U5">
        <f t="shared" si="0"/>
        <v>46791.178640730948</v>
      </c>
    </row>
    <row r="6" spans="1:21" x14ac:dyDescent="0.25">
      <c r="A6" t="s">
        <v>72</v>
      </c>
      <c r="B6">
        <f>'02_Usos'!$B$5</f>
        <v>154.809366555791</v>
      </c>
      <c r="C6">
        <f>'02_Usos'!$C$5</f>
        <v>7.90090801956591</v>
      </c>
      <c r="D6">
        <f>'02_Usos'!$D$5</f>
        <v>136.96591306237801</v>
      </c>
      <c r="E6">
        <f>'02_Usos'!$E$5</f>
        <v>1480.31032106818</v>
      </c>
      <c r="F6">
        <f>'02_Usos'!$F$5</f>
        <v>11.009585069440501</v>
      </c>
      <c r="G6">
        <f>'02_Usos'!$G$5</f>
        <v>255.58089371484701</v>
      </c>
      <c r="H6">
        <f>'02_Usos'!$H$5</f>
        <v>26.111448652576598</v>
      </c>
      <c r="I6">
        <f>'02_Usos'!$I$5</f>
        <v>21.7408198111474</v>
      </c>
      <c r="J6">
        <f>'02_Usos'!$J$5</f>
        <v>12.939322968687</v>
      </c>
      <c r="K6">
        <f>'02_Usos'!$K$5</f>
        <v>7.1191336024782901</v>
      </c>
      <c r="L6">
        <f>'02_Usos'!$L$5</f>
        <v>216.795454781638</v>
      </c>
      <c r="M6">
        <f>'02_Usos'!$M$5</f>
        <v>382.08586875998299</v>
      </c>
      <c r="N6">
        <f>'02_Usos'!$O$5</f>
        <v>0</v>
      </c>
      <c r="O6">
        <f>'02_Usos'!$P$5</f>
        <v>613.90951930323195</v>
      </c>
      <c r="P6">
        <f>'02_Usos'!$R$5</f>
        <v>0</v>
      </c>
      <c r="Q6">
        <f>'02_Usos'!$S$5</f>
        <v>1221.0253289923301</v>
      </c>
      <c r="R6">
        <f>'02_Usos'!$T$5</f>
        <v>0</v>
      </c>
      <c r="S6">
        <f>'02_Usos'!$U$5</f>
        <v>0</v>
      </c>
      <c r="T6">
        <f>'02_Usos'!$V$5</f>
        <v>1.6716120161960799</v>
      </c>
      <c r="U6">
        <f t="shared" si="0"/>
        <v>4549.9754963784708</v>
      </c>
    </row>
    <row r="7" spans="1:21" x14ac:dyDescent="0.25">
      <c r="A7" t="s">
        <v>73</v>
      </c>
      <c r="B7">
        <f>'02_Usos'!$B$6</f>
        <v>3.8224894700507401</v>
      </c>
      <c r="C7">
        <f>'02_Usos'!$C$6</f>
        <v>1.37870858359182E-2</v>
      </c>
      <c r="D7">
        <f>'02_Usos'!$D$6</f>
        <v>2.2642450320687599</v>
      </c>
      <c r="E7">
        <f>'02_Usos'!$E$6</f>
        <v>79.022219936396397</v>
      </c>
      <c r="F7">
        <f>'02_Usos'!$F$6</f>
        <v>705.14022689724504</v>
      </c>
      <c r="G7">
        <f>'02_Usos'!$G$6</f>
        <v>11.1773027672429</v>
      </c>
      <c r="H7">
        <f>'02_Usos'!$H$6</f>
        <v>8.35128226357015</v>
      </c>
      <c r="I7">
        <f>'02_Usos'!$I$6</f>
        <v>33.955800793082702</v>
      </c>
      <c r="J7">
        <f>'02_Usos'!$J$6</f>
        <v>4.90871633923574</v>
      </c>
      <c r="K7">
        <f>'02_Usos'!$K$6</f>
        <v>10.536413625734101</v>
      </c>
      <c r="L7">
        <f>'02_Usos'!$L$6</f>
        <v>24.8511412899181</v>
      </c>
      <c r="M7">
        <f>'02_Usos'!$M$6</f>
        <v>362.99378963273199</v>
      </c>
      <c r="N7">
        <f>'02_Usos'!$O$6</f>
        <v>0</v>
      </c>
      <c r="O7">
        <f>'02_Usos'!$P$6</f>
        <v>0</v>
      </c>
      <c r="P7">
        <f>'02_Usos'!$R$6</f>
        <v>0</v>
      </c>
      <c r="Q7">
        <f>'02_Usos'!$S$6</f>
        <v>0</v>
      </c>
      <c r="R7">
        <f>'02_Usos'!$T$6</f>
        <v>0</v>
      </c>
      <c r="S7">
        <f>'02_Usos'!$U$6</f>
        <v>4868.1849257329804</v>
      </c>
      <c r="T7">
        <f>'02_Usos'!$V$6</f>
        <v>0</v>
      </c>
      <c r="U7">
        <f t="shared" si="0"/>
        <v>6115.222340866093</v>
      </c>
    </row>
    <row r="8" spans="1:21" x14ac:dyDescent="0.25">
      <c r="A8" t="s">
        <v>74</v>
      </c>
      <c r="B8">
        <f>'02_Usos'!$B$7</f>
        <v>4.0645390550857901</v>
      </c>
      <c r="C8">
        <f>'02_Usos'!$C$7</f>
        <v>0.19920343047224801</v>
      </c>
      <c r="D8">
        <f>'02_Usos'!$D$7</f>
        <v>78.202411974315197</v>
      </c>
      <c r="E8">
        <f>'02_Usos'!$E$7</f>
        <v>12.2186878263197</v>
      </c>
      <c r="F8">
        <f>'02_Usos'!$F$7</f>
        <v>5.2675481991244197</v>
      </c>
      <c r="G8">
        <f>'02_Usos'!$G$7</f>
        <v>70.4502463916713</v>
      </c>
      <c r="H8">
        <f>'02_Usos'!$H$7</f>
        <v>46.636503993822302</v>
      </c>
      <c r="I8">
        <f>'02_Usos'!$I$7</f>
        <v>23.572887513037099</v>
      </c>
      <c r="J8">
        <f>'02_Usos'!$J$7</f>
        <v>0.47196287636393303</v>
      </c>
      <c r="K8">
        <f>'02_Usos'!$K$7</f>
        <v>0.125092000758671</v>
      </c>
      <c r="L8">
        <f>'02_Usos'!$L$7</f>
        <v>12.265165493107601</v>
      </c>
      <c r="M8">
        <f>'02_Usos'!$M$7</f>
        <v>53.081126598793901</v>
      </c>
      <c r="N8">
        <f>'02_Usos'!$O$7</f>
        <v>26.9946915061625</v>
      </c>
      <c r="O8">
        <f>'02_Usos'!$P$7</f>
        <v>0</v>
      </c>
      <c r="P8">
        <f>'02_Usos'!$R$7</f>
        <v>0</v>
      </c>
      <c r="Q8">
        <f>'02_Usos'!$S$7</f>
        <v>483.65278185428701</v>
      </c>
      <c r="R8">
        <f>'02_Usos'!$T$7</f>
        <v>0</v>
      </c>
      <c r="S8">
        <f>'02_Usos'!$U$7</f>
        <v>0</v>
      </c>
      <c r="T8">
        <f>'02_Usos'!$V$7</f>
        <v>0</v>
      </c>
      <c r="U8">
        <f t="shared" si="0"/>
        <v>817.2028487133216</v>
      </c>
    </row>
    <row r="9" spans="1:21" x14ac:dyDescent="0.25">
      <c r="A9" t="s">
        <v>75</v>
      </c>
      <c r="B9">
        <f>'02_Usos'!$B$8</f>
        <v>112.141697401282</v>
      </c>
      <c r="C9">
        <f>'02_Usos'!$C$8</f>
        <v>6.2334089637218604</v>
      </c>
      <c r="D9">
        <f>'02_Usos'!$D$8</f>
        <v>405.32122266080302</v>
      </c>
      <c r="E9">
        <f>'02_Usos'!$E$8</f>
        <v>22.468710014106598</v>
      </c>
      <c r="F9">
        <f>'02_Usos'!$F$8</f>
        <v>35.013467060950397</v>
      </c>
      <c r="G9">
        <f>'02_Usos'!$G$8</f>
        <v>475.61402259142699</v>
      </c>
      <c r="H9">
        <f>'02_Usos'!$H$8</f>
        <v>304.93612906100498</v>
      </c>
      <c r="I9">
        <f>'02_Usos'!$I$8</f>
        <v>11.000164689110401</v>
      </c>
      <c r="J9">
        <f>'02_Usos'!$J$8</f>
        <v>27.967707167177601</v>
      </c>
      <c r="K9">
        <f>'02_Usos'!$K$8</f>
        <v>1.89571896949818</v>
      </c>
      <c r="L9">
        <f>'02_Usos'!$L$8</f>
        <v>133.12582008821499</v>
      </c>
      <c r="M9">
        <f>'02_Usos'!$M$8</f>
        <v>205.00274571753499</v>
      </c>
      <c r="N9">
        <f>'02_Usos'!$O$8</f>
        <v>16</v>
      </c>
      <c r="O9">
        <f>'02_Usos'!$P$8</f>
        <v>0</v>
      </c>
      <c r="P9">
        <f>'02_Usos'!$R$8</f>
        <v>0</v>
      </c>
      <c r="Q9">
        <f>'02_Usos'!$S$8</f>
        <v>1177.53971521121</v>
      </c>
      <c r="R9">
        <f>'02_Usos'!$T$8</f>
        <v>0</v>
      </c>
      <c r="S9">
        <f>'02_Usos'!$U$8</f>
        <v>0</v>
      </c>
      <c r="T9">
        <f>'02_Usos'!$V$8</f>
        <v>0</v>
      </c>
      <c r="U9">
        <f t="shared" si="0"/>
        <v>2934.260529596042</v>
      </c>
    </row>
    <row r="10" spans="1:21" x14ac:dyDescent="0.25">
      <c r="A10" t="s">
        <v>76</v>
      </c>
      <c r="B10">
        <f>'02_Usos'!$B$9</f>
        <v>0.61710296671491105</v>
      </c>
      <c r="C10">
        <f>'02_Usos'!$C$9</f>
        <v>0.22864688595515301</v>
      </c>
      <c r="D10">
        <f>'02_Usos'!$D$9</f>
        <v>48.776090369683601</v>
      </c>
      <c r="E10">
        <f>'02_Usos'!$E$9</f>
        <v>41.137019475786303</v>
      </c>
      <c r="F10">
        <f>'02_Usos'!$F$9</f>
        <v>16.744160541878902</v>
      </c>
      <c r="G10">
        <f>'02_Usos'!$G$9</f>
        <v>154.23642369179601</v>
      </c>
      <c r="H10">
        <f>'02_Usos'!$H$9</f>
        <v>31.785982494555501</v>
      </c>
      <c r="I10">
        <f>'02_Usos'!$I$9</f>
        <v>261.46493528264301</v>
      </c>
      <c r="J10">
        <f>'02_Usos'!$J$9</f>
        <v>105.334870012037</v>
      </c>
      <c r="K10">
        <f>'02_Usos'!$K$9</f>
        <v>5.9821948507348601</v>
      </c>
      <c r="L10">
        <f>'02_Usos'!$L$9</f>
        <v>204.745248382743</v>
      </c>
      <c r="M10">
        <f>'02_Usos'!$M$9</f>
        <v>399.41456080928702</v>
      </c>
      <c r="N10">
        <f>'02_Usos'!$O$9</f>
        <v>2.6752357825443198</v>
      </c>
      <c r="O10">
        <f>'02_Usos'!$P$9</f>
        <v>26.678261132863199</v>
      </c>
      <c r="P10">
        <f>'02_Usos'!$R$9</f>
        <v>0</v>
      </c>
      <c r="Q10">
        <f>'02_Usos'!$S$9</f>
        <v>824.84629881757905</v>
      </c>
      <c r="R10">
        <f>'02_Usos'!$T$9</f>
        <v>0</v>
      </c>
      <c r="S10">
        <f>'02_Usos'!$U$9</f>
        <v>110.23355285272</v>
      </c>
      <c r="T10">
        <f>'02_Usos'!$V$9</f>
        <v>-0.45588277204264499</v>
      </c>
      <c r="U10">
        <f t="shared" si="0"/>
        <v>2234.4447015774795</v>
      </c>
    </row>
    <row r="11" spans="1:21" x14ac:dyDescent="0.25">
      <c r="A11" t="s">
        <v>77</v>
      </c>
      <c r="B11">
        <f>'02_Usos'!$B$10</f>
        <v>130.45602910459701</v>
      </c>
      <c r="C11">
        <f>'02_Usos'!$C$10</f>
        <v>7.3087876835066297</v>
      </c>
      <c r="D11">
        <f>'02_Usos'!$D$10</f>
        <v>183.00486253247701</v>
      </c>
      <c r="E11">
        <f>'02_Usos'!$E$10</f>
        <v>130.82104580946</v>
      </c>
      <c r="F11">
        <f>'02_Usos'!$F$10</f>
        <v>96.771951022856697</v>
      </c>
      <c r="G11">
        <f>'02_Usos'!$G$10</f>
        <v>246.23947708153301</v>
      </c>
      <c r="H11">
        <f>'02_Usos'!$H$10</f>
        <v>71.125788900151406</v>
      </c>
      <c r="I11">
        <f>'02_Usos'!$I$10</f>
        <v>66.780516006326394</v>
      </c>
      <c r="J11">
        <f>'02_Usos'!$J$10</f>
        <v>366.11924793560598</v>
      </c>
      <c r="K11">
        <f>'02_Usos'!$K$10</f>
        <v>153.22607182788801</v>
      </c>
      <c r="L11">
        <f>'02_Usos'!$L$10</f>
        <v>148.85236381338899</v>
      </c>
      <c r="M11">
        <f>'02_Usos'!$M$10</f>
        <v>670.49075713163495</v>
      </c>
      <c r="N11">
        <f>'02_Usos'!$O$10</f>
        <v>8.4055003505666299</v>
      </c>
      <c r="O11">
        <f>'02_Usos'!$P$10</f>
        <v>0</v>
      </c>
      <c r="P11">
        <f>'02_Usos'!$R$10</f>
        <v>7.7394704998347601</v>
      </c>
      <c r="Q11">
        <f>'02_Usos'!$S$10</f>
        <v>3803.7185631505899</v>
      </c>
      <c r="R11">
        <f>'02_Usos'!$T$10</f>
        <v>0</v>
      </c>
      <c r="S11">
        <f>'02_Usos'!$U$10</f>
        <v>0</v>
      </c>
      <c r="T11">
        <f>'02_Usos'!$V$10</f>
        <v>0</v>
      </c>
      <c r="U11">
        <f t="shared" si="0"/>
        <v>6091.0604328504178</v>
      </c>
    </row>
    <row r="12" spans="1:21" x14ac:dyDescent="0.25">
      <c r="A12" t="s">
        <v>78</v>
      </c>
      <c r="B12">
        <f>'02_Usos'!$B$11</f>
        <v>0.235033528815382</v>
      </c>
      <c r="C12">
        <f>'02_Usos'!$C$11</f>
        <v>0.45746480887650998</v>
      </c>
      <c r="D12">
        <f>'02_Usos'!$D$11</f>
        <v>21.746612009043002</v>
      </c>
      <c r="E12">
        <f>'02_Usos'!$E$11</f>
        <v>23.239619233035601</v>
      </c>
      <c r="F12">
        <f>'02_Usos'!$F$11</f>
        <v>13.5603236994473</v>
      </c>
      <c r="G12">
        <f>'02_Usos'!$G$11</f>
        <v>369.934055889511</v>
      </c>
      <c r="H12">
        <f>'02_Usos'!$H$11</f>
        <v>45.167672550011503</v>
      </c>
      <c r="I12">
        <f>'02_Usos'!$I$11</f>
        <v>25.297465222122501</v>
      </c>
      <c r="J12">
        <f>'02_Usos'!$J$11</f>
        <v>22.641904663160101</v>
      </c>
      <c r="K12">
        <f>'02_Usos'!$K$11</f>
        <v>12.5900156711271</v>
      </c>
      <c r="L12">
        <f>'02_Usos'!$L$11</f>
        <v>189.571113492389</v>
      </c>
      <c r="M12">
        <f>'02_Usos'!$M$11</f>
        <v>52.578598793027297</v>
      </c>
      <c r="N12">
        <f>'02_Usos'!$O$11</f>
        <v>0</v>
      </c>
      <c r="O12">
        <f>'02_Usos'!$P$11</f>
        <v>3.8794981497461101</v>
      </c>
      <c r="P12">
        <f>'02_Usos'!$R$11</f>
        <v>0</v>
      </c>
      <c r="Q12">
        <f>'02_Usos'!$S$11</f>
        <v>3685.5421937107699</v>
      </c>
      <c r="R12">
        <f>'02_Usos'!$T$11</f>
        <v>0</v>
      </c>
      <c r="S12">
        <f>'02_Usos'!$U$11</f>
        <v>0</v>
      </c>
      <c r="T12">
        <f>'02_Usos'!$V$11</f>
        <v>0</v>
      </c>
      <c r="U12">
        <f t="shared" si="0"/>
        <v>4466.4415714210827</v>
      </c>
    </row>
    <row r="13" spans="1:21" x14ac:dyDescent="0.25">
      <c r="A13" t="s">
        <v>79</v>
      </c>
      <c r="B13">
        <f>'02_Usos'!$B$12</f>
        <v>42.118355261147798</v>
      </c>
      <c r="C13">
        <f>'02_Usos'!$C$12</f>
        <v>12.5275283731147</v>
      </c>
      <c r="D13">
        <f>'02_Usos'!$D$12</f>
        <v>458.775294532864</v>
      </c>
      <c r="E13">
        <f>'02_Usos'!$E$12</f>
        <v>286.225364882863</v>
      </c>
      <c r="F13">
        <f>'02_Usos'!$F$12</f>
        <v>178.98604140696301</v>
      </c>
      <c r="G13">
        <f>'02_Usos'!$G$12</f>
        <v>998.88510419587396</v>
      </c>
      <c r="H13">
        <f>'02_Usos'!$H$12</f>
        <v>184.47088773079801</v>
      </c>
      <c r="I13">
        <f>'02_Usos'!$I$12</f>
        <v>338.46967536547601</v>
      </c>
      <c r="J13">
        <f>'02_Usos'!$J$12</f>
        <v>261.46514673152001</v>
      </c>
      <c r="K13">
        <f>'02_Usos'!$K$12</f>
        <v>34.804536694565797</v>
      </c>
      <c r="L13">
        <f>'02_Usos'!$L$12</f>
        <v>903.45327233683497</v>
      </c>
      <c r="M13">
        <f>'02_Usos'!$M$12</f>
        <v>1594.0539851707999</v>
      </c>
      <c r="N13">
        <f>'02_Usos'!$O$12</f>
        <v>39.490347986295099</v>
      </c>
      <c r="O13">
        <f>'02_Usos'!$P$12</f>
        <v>213.005483454559</v>
      </c>
      <c r="P13">
        <f>'02_Usos'!$R$12</f>
        <v>564.58528967384598</v>
      </c>
      <c r="Q13">
        <f>'02_Usos'!$S$12</f>
        <v>8822.4346965681198</v>
      </c>
      <c r="R13">
        <f>'02_Usos'!$T$12</f>
        <v>462.88319809283797</v>
      </c>
      <c r="S13">
        <f>'02_Usos'!$U$12</f>
        <v>158.717510721054</v>
      </c>
      <c r="T13">
        <f>'02_Usos'!$V$12</f>
        <v>0</v>
      </c>
      <c r="U13">
        <f t="shared" si="0"/>
        <v>15555.351719179533</v>
      </c>
    </row>
    <row r="14" spans="1:21" x14ac:dyDescent="0.25">
      <c r="A14" t="s">
        <v>80</v>
      </c>
      <c r="B14">
        <f>'02_Usos'!$B$13</f>
        <v>0</v>
      </c>
      <c r="C14">
        <f>'02_Usos'!$C$13</f>
        <v>0</v>
      </c>
      <c r="D14">
        <f>'02_Usos'!$D$13</f>
        <v>0</v>
      </c>
      <c r="E14">
        <f>'02_Usos'!$E$13</f>
        <v>0</v>
      </c>
      <c r="F14">
        <f>'02_Usos'!$F$13</f>
        <v>0</v>
      </c>
      <c r="G14">
        <f>'02_Usos'!$G$13</f>
        <v>0</v>
      </c>
      <c r="H14">
        <f>'02_Usos'!$H$13</f>
        <v>0</v>
      </c>
      <c r="I14">
        <f>'02_Usos'!$I$13</f>
        <v>0</v>
      </c>
      <c r="J14">
        <f>'02_Usos'!$J$13</f>
        <v>0</v>
      </c>
      <c r="K14">
        <f>'02_Usos'!$K$13</f>
        <v>0</v>
      </c>
      <c r="L14">
        <f>'02_Usos'!$L$13</f>
        <v>0</v>
      </c>
      <c r="M14">
        <f>'02_Usos'!$M$13</f>
        <v>0</v>
      </c>
      <c r="N14">
        <f>'02_Usos'!$O$13</f>
        <v>0</v>
      </c>
      <c r="O14">
        <f>'02_Usos'!$P$13</f>
        <v>0</v>
      </c>
      <c r="P14">
        <f>'02_Usos'!$R$13</f>
        <v>19737.216629487699</v>
      </c>
      <c r="Q14">
        <f>'02_Usos'!$S$13</f>
        <v>0</v>
      </c>
      <c r="R14">
        <f>'02_Usos'!$T$13</f>
        <v>0</v>
      </c>
      <c r="S14">
        <f>'02_Usos'!$U$13</f>
        <v>0</v>
      </c>
      <c r="T14">
        <f>'02_Usos'!$V$13</f>
        <v>0</v>
      </c>
      <c r="U14">
        <f t="shared" si="0"/>
        <v>19737.216629487699</v>
      </c>
    </row>
    <row r="16" spans="1:21" ht="15.75" x14ac:dyDescent="0.25">
      <c r="A16" s="1" t="s">
        <v>133</v>
      </c>
    </row>
    <row r="17" spans="1:21" ht="90" x14ac:dyDescent="0.25">
      <c r="A17" s="2" t="s">
        <v>131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73</v>
      </c>
      <c r="G17" s="2" t="s">
        <v>74</v>
      </c>
      <c r="H17" s="2" t="s">
        <v>75</v>
      </c>
      <c r="I17" s="2" t="s">
        <v>76</v>
      </c>
      <c r="J17" s="2" t="s">
        <v>77</v>
      </c>
      <c r="K17" s="2" t="s">
        <v>78</v>
      </c>
      <c r="L17" s="2" t="s">
        <v>79</v>
      </c>
      <c r="M17" s="2" t="s">
        <v>80</v>
      </c>
      <c r="N17" s="2" t="s">
        <v>92</v>
      </c>
      <c r="O17" s="2" t="s">
        <v>93</v>
      </c>
      <c r="P17" s="2" t="s">
        <v>95</v>
      </c>
      <c r="Q17" s="2" t="s">
        <v>96</v>
      </c>
      <c r="R17" s="2" t="s">
        <v>97</v>
      </c>
      <c r="S17" s="2" t="s">
        <v>98</v>
      </c>
      <c r="T17" s="2" t="s">
        <v>99</v>
      </c>
      <c r="U17" s="2" t="s">
        <v>134</v>
      </c>
    </row>
    <row r="18" spans="1:21" x14ac:dyDescent="0.25">
      <c r="A18" t="s">
        <v>69</v>
      </c>
      <c r="B18">
        <f t="shared" ref="B18:T18" si="1">IF($U$3=0,0,B$3/$U$3)</f>
        <v>3.5706303343076451E-2</v>
      </c>
      <c r="C18">
        <f t="shared" si="1"/>
        <v>1.2415436617535995E-6</v>
      </c>
      <c r="D18">
        <f t="shared" si="1"/>
        <v>0.16888503597222124</v>
      </c>
      <c r="E18">
        <f t="shared" si="1"/>
        <v>2.8204664795201144E-5</v>
      </c>
      <c r="F18">
        <f t="shared" si="1"/>
        <v>1.0554030074436211E-3</v>
      </c>
      <c r="G18">
        <f t="shared" si="1"/>
        <v>6.7841256034020681E-3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  <c r="L18">
        <f t="shared" si="1"/>
        <v>7.2044265055683466E-3</v>
      </c>
      <c r="M18">
        <f t="shared" si="1"/>
        <v>4.7933460311144309E-3</v>
      </c>
      <c r="N18">
        <f t="shared" si="1"/>
        <v>0.22003186402621747</v>
      </c>
      <c r="O18">
        <f t="shared" si="1"/>
        <v>0.13470912987555955</v>
      </c>
      <c r="P18">
        <f t="shared" si="1"/>
        <v>1.2935840943686873E-4</v>
      </c>
      <c r="Q18">
        <f t="shared" si="1"/>
        <v>0.31550058330819014</v>
      </c>
      <c r="R18">
        <f t="shared" si="1"/>
        <v>0</v>
      </c>
      <c r="S18">
        <f t="shared" si="1"/>
        <v>1.778459874662925E-2</v>
      </c>
      <c r="T18">
        <f t="shared" si="1"/>
        <v>8.7386378962683656E-2</v>
      </c>
      <c r="U18">
        <f t="shared" ref="U18:U29" si="2">SUM(B18:T18)</f>
        <v>0.99999999999999989</v>
      </c>
    </row>
    <row r="19" spans="1:21" x14ac:dyDescent="0.25">
      <c r="A19" t="s">
        <v>70</v>
      </c>
      <c r="B19">
        <f t="shared" ref="B19:T19" si="3">IF($U$4=0,0,B$4/$U$4)</f>
        <v>2.0565865329538316E-2</v>
      </c>
      <c r="C19">
        <f t="shared" si="3"/>
        <v>1.1602266598017478E-2</v>
      </c>
      <c r="D19">
        <f t="shared" si="3"/>
        <v>0.34843472620542121</v>
      </c>
      <c r="E19">
        <f t="shared" si="3"/>
        <v>9.3408423577265118E-3</v>
      </c>
      <c r="F19">
        <f t="shared" si="3"/>
        <v>0.23640527803057129</v>
      </c>
      <c r="G19">
        <f t="shared" si="3"/>
        <v>1.2689300862790706E-3</v>
      </c>
      <c r="H19">
        <f t="shared" si="3"/>
        <v>1.0693039580420409E-5</v>
      </c>
      <c r="I19">
        <f t="shared" si="3"/>
        <v>0</v>
      </c>
      <c r="J19">
        <f t="shared" si="3"/>
        <v>0</v>
      </c>
      <c r="K19">
        <f t="shared" si="3"/>
        <v>1.3750802519325879E-2</v>
      </c>
      <c r="L19">
        <f t="shared" si="3"/>
        <v>9.5285554935365421E-4</v>
      </c>
      <c r="M19">
        <f t="shared" si="3"/>
        <v>4.698626727012504E-3</v>
      </c>
      <c r="N19">
        <f t="shared" si="3"/>
        <v>8.456121793022367E-3</v>
      </c>
      <c r="O19">
        <f t="shared" si="3"/>
        <v>0.20427044311762096</v>
      </c>
      <c r="P19">
        <f t="shared" si="3"/>
        <v>0</v>
      </c>
      <c r="Q19">
        <f t="shared" si="3"/>
        <v>0</v>
      </c>
      <c r="R19">
        <f t="shared" si="3"/>
        <v>0</v>
      </c>
      <c r="S19">
        <f t="shared" si="3"/>
        <v>0</v>
      </c>
      <c r="T19">
        <f t="shared" si="3"/>
        <v>0.14024254864653049</v>
      </c>
      <c r="U19">
        <f t="shared" si="2"/>
        <v>1.0000000000000002</v>
      </c>
    </row>
    <row r="20" spans="1:21" x14ac:dyDescent="0.25">
      <c r="A20" t="s">
        <v>71</v>
      </c>
      <c r="B20">
        <f t="shared" ref="B20:T20" si="4">IF($U$5=0,0,B$5/$U$5)</f>
        <v>5.0833271545998052E-2</v>
      </c>
      <c r="C20">
        <f t="shared" si="4"/>
        <v>1.3067013866530158E-3</v>
      </c>
      <c r="D20">
        <f t="shared" si="4"/>
        <v>7.8772037176055659E-2</v>
      </c>
      <c r="E20">
        <f t="shared" si="4"/>
        <v>9.1347388708467037E-3</v>
      </c>
      <c r="F20">
        <f t="shared" si="4"/>
        <v>4.4191403763714172E-2</v>
      </c>
      <c r="G20">
        <f t="shared" si="4"/>
        <v>2.0170537716419478E-2</v>
      </c>
      <c r="H20">
        <f t="shared" si="4"/>
        <v>1.6860450749343954E-2</v>
      </c>
      <c r="I20">
        <f t="shared" si="4"/>
        <v>1.3866905141537208E-3</v>
      </c>
      <c r="J20">
        <f t="shared" si="4"/>
        <v>6.9839600260112851E-4</v>
      </c>
      <c r="K20">
        <f t="shared" si="4"/>
        <v>1.1661479298469197E-3</v>
      </c>
      <c r="L20">
        <f t="shared" si="4"/>
        <v>2.6628778778067037E-2</v>
      </c>
      <c r="M20">
        <f t="shared" si="4"/>
        <v>2.1243868234271879E-2</v>
      </c>
      <c r="N20">
        <f t="shared" si="4"/>
        <v>1.1680314311644903E-2</v>
      </c>
      <c r="O20">
        <f t="shared" si="4"/>
        <v>0.11049401377932963</v>
      </c>
      <c r="P20">
        <f t="shared" si="4"/>
        <v>2.4517060432487736E-3</v>
      </c>
      <c r="Q20">
        <f t="shared" si="4"/>
        <v>0.50539264144736629</v>
      </c>
      <c r="R20">
        <f t="shared" si="4"/>
        <v>0</v>
      </c>
      <c r="S20">
        <f t="shared" si="4"/>
        <v>5.0643453222032203E-2</v>
      </c>
      <c r="T20">
        <f t="shared" si="4"/>
        <v>4.694484852840642E-2</v>
      </c>
      <c r="U20">
        <f t="shared" si="2"/>
        <v>1</v>
      </c>
    </row>
    <row r="21" spans="1:21" x14ac:dyDescent="0.25">
      <c r="A21" t="s">
        <v>72</v>
      </c>
      <c r="B21">
        <f t="shared" ref="B21:T21" si="5">IF($U$6=0,0,B$6/$U$6)</f>
        <v>3.402421984008721E-2</v>
      </c>
      <c r="C21">
        <f t="shared" si="5"/>
        <v>1.7364726526229858E-3</v>
      </c>
      <c r="D21">
        <f t="shared" si="5"/>
        <v>3.0102560589918628E-2</v>
      </c>
      <c r="E21">
        <f t="shared" si="5"/>
        <v>0.3253446798222156</v>
      </c>
      <c r="F21">
        <f t="shared" si="5"/>
        <v>2.4197020573415227E-3</v>
      </c>
      <c r="G21">
        <f t="shared" si="5"/>
        <v>5.6171927501208585E-2</v>
      </c>
      <c r="H21">
        <f t="shared" si="5"/>
        <v>5.738810829500042E-3</v>
      </c>
      <c r="I21">
        <f t="shared" si="5"/>
        <v>4.7782278890187192E-3</v>
      </c>
      <c r="J21">
        <f t="shared" si="5"/>
        <v>2.8438225610195014E-3</v>
      </c>
      <c r="K21">
        <f t="shared" si="5"/>
        <v>1.5646531740983499E-3</v>
      </c>
      <c r="L21">
        <f t="shared" si="5"/>
        <v>4.7647609301235842E-2</v>
      </c>
      <c r="M21">
        <f t="shared" si="5"/>
        <v>8.3975368452885571E-2</v>
      </c>
      <c r="N21">
        <f t="shared" si="5"/>
        <v>0</v>
      </c>
      <c r="O21">
        <f t="shared" si="5"/>
        <v>0.1349258957090802</v>
      </c>
      <c r="P21">
        <f t="shared" si="5"/>
        <v>0</v>
      </c>
      <c r="Q21">
        <f t="shared" si="5"/>
        <v>0.26835866038491829</v>
      </c>
      <c r="R21">
        <f t="shared" si="5"/>
        <v>0</v>
      </c>
      <c r="S21">
        <f t="shared" si="5"/>
        <v>0</v>
      </c>
      <c r="T21">
        <f t="shared" si="5"/>
        <v>3.6738923484897683E-4</v>
      </c>
      <c r="U21">
        <f t="shared" si="2"/>
        <v>1</v>
      </c>
    </row>
    <row r="22" spans="1:21" x14ac:dyDescent="0.25">
      <c r="A22" t="s">
        <v>73</v>
      </c>
      <c r="B22">
        <f t="shared" ref="B22:T22" si="6">IF($U$7=0,0,B$7/$U$7)</f>
        <v>6.2507775792651954E-4</v>
      </c>
      <c r="C22">
        <f t="shared" si="6"/>
        <v>2.2545518490445515E-6</v>
      </c>
      <c r="D22">
        <f t="shared" si="6"/>
        <v>3.7026372973187385E-4</v>
      </c>
      <c r="E22">
        <f t="shared" si="6"/>
        <v>1.2922215339304335E-2</v>
      </c>
      <c r="F22">
        <f t="shared" si="6"/>
        <v>0.11530900882949363</v>
      </c>
      <c r="G22">
        <f t="shared" si="6"/>
        <v>1.8277835447696688E-3</v>
      </c>
      <c r="H22">
        <f t="shared" si="6"/>
        <v>1.365654721621678E-3</v>
      </c>
      <c r="I22">
        <f t="shared" si="6"/>
        <v>5.5526682269860976E-3</v>
      </c>
      <c r="J22">
        <f t="shared" si="6"/>
        <v>8.0270447509853311E-4</v>
      </c>
      <c r="K22">
        <f t="shared" si="6"/>
        <v>1.7229812815345385E-3</v>
      </c>
      <c r="L22">
        <f t="shared" si="6"/>
        <v>4.0638164738256198E-3</v>
      </c>
      <c r="M22">
        <f t="shared" si="6"/>
        <v>5.9359050153738407E-2</v>
      </c>
      <c r="N22">
        <f t="shared" si="6"/>
        <v>0</v>
      </c>
      <c r="O22">
        <f t="shared" si="6"/>
        <v>0</v>
      </c>
      <c r="P22">
        <f t="shared" si="6"/>
        <v>0</v>
      </c>
      <c r="Q22">
        <f t="shared" si="6"/>
        <v>0</v>
      </c>
      <c r="R22">
        <f t="shared" si="6"/>
        <v>0</v>
      </c>
      <c r="S22">
        <f t="shared" si="6"/>
        <v>0.79607652091412007</v>
      </c>
      <c r="T22">
        <f t="shared" si="6"/>
        <v>0</v>
      </c>
      <c r="U22">
        <f t="shared" si="2"/>
        <v>1</v>
      </c>
    </row>
    <row r="23" spans="1:21" x14ac:dyDescent="0.25">
      <c r="A23" t="s">
        <v>74</v>
      </c>
      <c r="B23">
        <f t="shared" ref="B23:T23" si="7">IF($U$8=0,0,B$8/$U$8)</f>
        <v>4.9737211042342423E-3</v>
      </c>
      <c r="C23">
        <f t="shared" si="7"/>
        <v>2.4376252577422116E-4</v>
      </c>
      <c r="D23">
        <f t="shared" si="7"/>
        <v>9.5695226830699601E-2</v>
      </c>
      <c r="E23">
        <f t="shared" si="7"/>
        <v>1.4951841939315204E-2</v>
      </c>
      <c r="F23">
        <f t="shared" si="7"/>
        <v>6.4458270151873873E-3</v>
      </c>
      <c r="G23">
        <f t="shared" si="7"/>
        <v>8.6209007350616276E-2</v>
      </c>
      <c r="H23">
        <f t="shared" si="7"/>
        <v>5.7068454995294067E-2</v>
      </c>
      <c r="I23">
        <f t="shared" si="7"/>
        <v>2.884582151194455E-2</v>
      </c>
      <c r="J23">
        <f t="shared" si="7"/>
        <v>5.7753454617422617E-4</v>
      </c>
      <c r="K23">
        <f t="shared" si="7"/>
        <v>1.5307337823849637E-4</v>
      </c>
      <c r="L23">
        <f t="shared" si="7"/>
        <v>1.5008716027384133E-2</v>
      </c>
      <c r="M23">
        <f t="shared" si="7"/>
        <v>6.4954651935403368E-2</v>
      </c>
      <c r="N23">
        <f t="shared" si="7"/>
        <v>3.303303647150202E-2</v>
      </c>
      <c r="O23">
        <f t="shared" si="7"/>
        <v>0</v>
      </c>
      <c r="P23">
        <f t="shared" si="7"/>
        <v>0</v>
      </c>
      <c r="Q23">
        <f t="shared" si="7"/>
        <v>0.59183932436823228</v>
      </c>
      <c r="R23">
        <f t="shared" si="7"/>
        <v>0</v>
      </c>
      <c r="S23">
        <f t="shared" si="7"/>
        <v>0</v>
      </c>
      <c r="T23">
        <f t="shared" si="7"/>
        <v>0</v>
      </c>
      <c r="U23">
        <f t="shared" si="2"/>
        <v>1</v>
      </c>
    </row>
    <row r="24" spans="1:21" x14ac:dyDescent="0.25">
      <c r="A24" t="s">
        <v>75</v>
      </c>
      <c r="B24">
        <f t="shared" ref="B24:T24" si="8">IF($U$9=0,0,B$9/$U$9)</f>
        <v>3.8218043786561955E-2</v>
      </c>
      <c r="C24">
        <f t="shared" si="8"/>
        <v>2.1243542967127088E-3</v>
      </c>
      <c r="D24">
        <f t="shared" si="8"/>
        <v>0.13813402680933834</v>
      </c>
      <c r="E24">
        <f t="shared" si="8"/>
        <v>7.6573670904402794E-3</v>
      </c>
      <c r="F24">
        <f t="shared" si="8"/>
        <v>1.1932637442310101E-2</v>
      </c>
      <c r="G24">
        <f t="shared" si="8"/>
        <v>0.16208990912504437</v>
      </c>
      <c r="H24">
        <f t="shared" si="8"/>
        <v>0.10392264967112015</v>
      </c>
      <c r="I24">
        <f t="shared" si="8"/>
        <v>3.7488711646967445E-3</v>
      </c>
      <c r="J24">
        <f t="shared" si="8"/>
        <v>9.5314328380472404E-3</v>
      </c>
      <c r="K24">
        <f t="shared" si="8"/>
        <v>6.4606361649800824E-4</v>
      </c>
      <c r="L24">
        <f t="shared" si="8"/>
        <v>4.5369461486278573E-2</v>
      </c>
      <c r="M24">
        <f t="shared" si="8"/>
        <v>6.9865216005804906E-2</v>
      </c>
      <c r="N24">
        <f t="shared" si="8"/>
        <v>5.4528218740694818E-3</v>
      </c>
      <c r="O24">
        <f t="shared" si="8"/>
        <v>0</v>
      </c>
      <c r="P24">
        <f t="shared" si="8"/>
        <v>0</v>
      </c>
      <c r="Q24">
        <f t="shared" si="8"/>
        <v>0.40130714479307711</v>
      </c>
      <c r="R24">
        <f t="shared" si="8"/>
        <v>0</v>
      </c>
      <c r="S24">
        <f t="shared" si="8"/>
        <v>0</v>
      </c>
      <c r="T24">
        <f t="shared" si="8"/>
        <v>0</v>
      </c>
      <c r="U24">
        <f t="shared" si="2"/>
        <v>1</v>
      </c>
    </row>
    <row r="25" spans="1:21" x14ac:dyDescent="0.25">
      <c r="A25" t="s">
        <v>76</v>
      </c>
      <c r="B25">
        <f t="shared" ref="B25:T25" si="9">IF($U$10=0,0,B$10/$U$10)</f>
        <v>2.7617732776257431E-4</v>
      </c>
      <c r="C25">
        <f t="shared" si="9"/>
        <v>1.0232828129231941E-4</v>
      </c>
      <c r="D25">
        <f t="shared" si="9"/>
        <v>2.1829177663357936E-2</v>
      </c>
      <c r="E25">
        <f t="shared" si="9"/>
        <v>1.8410399436935843E-2</v>
      </c>
      <c r="F25">
        <f t="shared" si="9"/>
        <v>7.4936562672854746E-3</v>
      </c>
      <c r="G25">
        <f t="shared" si="9"/>
        <v>6.9026735628278352E-2</v>
      </c>
      <c r="H25">
        <f t="shared" si="9"/>
        <v>1.4225450498781709E-2</v>
      </c>
      <c r="I25">
        <f t="shared" si="9"/>
        <v>0.11701562141952015</v>
      </c>
      <c r="J25">
        <f t="shared" si="9"/>
        <v>4.7141408305013052E-2</v>
      </c>
      <c r="K25">
        <f t="shared" si="9"/>
        <v>2.6772624296817612E-3</v>
      </c>
      <c r="L25">
        <f t="shared" si="9"/>
        <v>9.1631378587349419E-2</v>
      </c>
      <c r="M25">
        <f t="shared" si="9"/>
        <v>0.17875338804639346</v>
      </c>
      <c r="N25">
        <f t="shared" si="9"/>
        <v>1.1972709732559724E-3</v>
      </c>
      <c r="O25">
        <f t="shared" si="9"/>
        <v>1.1939548610904896E-2</v>
      </c>
      <c r="P25">
        <f t="shared" si="9"/>
        <v>0</v>
      </c>
      <c r="Q25">
        <f t="shared" si="9"/>
        <v>0.36915046420045738</v>
      </c>
      <c r="R25">
        <f t="shared" si="9"/>
        <v>0</v>
      </c>
      <c r="S25">
        <f t="shared" si="9"/>
        <v>4.9333757409568919E-2</v>
      </c>
      <c r="T25">
        <f t="shared" si="9"/>
        <v>-2.0402508583935847E-4</v>
      </c>
      <c r="U25">
        <f t="shared" si="2"/>
        <v>0.99999999999999989</v>
      </c>
    </row>
    <row r="26" spans="1:21" x14ac:dyDescent="0.25">
      <c r="A26" t="s">
        <v>77</v>
      </c>
      <c r="B26">
        <f t="shared" ref="B26:T26" si="10">IF($U$11=0,0,B$11/$U$11)</f>
        <v>2.1417621864498203E-2</v>
      </c>
      <c r="C26">
        <f t="shared" si="10"/>
        <v>1.199920402051627E-3</v>
      </c>
      <c r="D26">
        <f t="shared" si="10"/>
        <v>3.0044827916251144E-2</v>
      </c>
      <c r="E26">
        <f t="shared" si="10"/>
        <v>2.1477548491214037E-2</v>
      </c>
      <c r="F26">
        <f t="shared" si="10"/>
        <v>1.5887537496910135E-2</v>
      </c>
      <c r="G26">
        <f t="shared" si="10"/>
        <v>4.042637235275319E-2</v>
      </c>
      <c r="H26">
        <f t="shared" si="10"/>
        <v>1.1677078184375664E-2</v>
      </c>
      <c r="I26">
        <f t="shared" si="10"/>
        <v>1.0963692897572401E-2</v>
      </c>
      <c r="J26">
        <f t="shared" si="10"/>
        <v>6.0107636752550507E-2</v>
      </c>
      <c r="K26">
        <f t="shared" si="10"/>
        <v>2.5155894202182984E-2</v>
      </c>
      <c r="L26">
        <f t="shared" si="10"/>
        <v>2.443784057872677E-2</v>
      </c>
      <c r="M26">
        <f t="shared" si="10"/>
        <v>0.11007783694207531</v>
      </c>
      <c r="N26">
        <f t="shared" si="10"/>
        <v>1.3799732317929293E-3</v>
      </c>
      <c r="O26">
        <f t="shared" si="10"/>
        <v>0</v>
      </c>
      <c r="P26">
        <f t="shared" si="10"/>
        <v>1.2706277642714077E-3</v>
      </c>
      <c r="Q26">
        <f t="shared" si="10"/>
        <v>0.6244755909227736</v>
      </c>
      <c r="R26">
        <f t="shared" si="10"/>
        <v>0</v>
      </c>
      <c r="S26">
        <f t="shared" si="10"/>
        <v>0</v>
      </c>
      <c r="T26">
        <f t="shared" si="10"/>
        <v>0</v>
      </c>
      <c r="U26">
        <f t="shared" si="2"/>
        <v>0.99999999999999989</v>
      </c>
    </row>
    <row r="27" spans="1:21" x14ac:dyDescent="0.25">
      <c r="A27" t="s">
        <v>78</v>
      </c>
      <c r="B27">
        <f t="shared" ref="B27:T27" si="11">IF($U$12=0,0,B$12/$U$12)</f>
        <v>5.2622098611848998E-5</v>
      </c>
      <c r="C27">
        <f t="shared" si="11"/>
        <v>1.0242265605882737E-4</v>
      </c>
      <c r="D27">
        <f t="shared" si="11"/>
        <v>4.8688898447011159E-3</v>
      </c>
      <c r="E27">
        <f t="shared" si="11"/>
        <v>5.203162038822211E-3</v>
      </c>
      <c r="F27">
        <f t="shared" si="11"/>
        <v>3.0360463654588517E-3</v>
      </c>
      <c r="G27">
        <f t="shared" si="11"/>
        <v>8.2825231221329843E-2</v>
      </c>
      <c r="H27">
        <f t="shared" si="11"/>
        <v>1.0112675119052448E-2</v>
      </c>
      <c r="I27">
        <f t="shared" si="11"/>
        <v>5.6638970459147045E-3</v>
      </c>
      <c r="J27">
        <f t="shared" si="11"/>
        <v>5.0693386001143077E-3</v>
      </c>
      <c r="K27">
        <f t="shared" si="11"/>
        <v>2.8188022768920605E-3</v>
      </c>
      <c r="L27">
        <f t="shared" si="11"/>
        <v>4.2443432979259454E-2</v>
      </c>
      <c r="M27">
        <f t="shared" si="11"/>
        <v>1.1771921327585715E-2</v>
      </c>
      <c r="N27">
        <f t="shared" si="11"/>
        <v>0</v>
      </c>
      <c r="O27">
        <f t="shared" si="11"/>
        <v>8.6858813391166214E-4</v>
      </c>
      <c r="P27">
        <f t="shared" si="11"/>
        <v>0</v>
      </c>
      <c r="Q27">
        <f t="shared" si="11"/>
        <v>0.8251629702922868</v>
      </c>
      <c r="R27">
        <f t="shared" si="11"/>
        <v>0</v>
      </c>
      <c r="S27">
        <f t="shared" si="11"/>
        <v>0</v>
      </c>
      <c r="T27">
        <f t="shared" si="11"/>
        <v>0</v>
      </c>
      <c r="U27">
        <f t="shared" si="2"/>
        <v>0.99999999999999989</v>
      </c>
    </row>
    <row r="28" spans="1:21" x14ac:dyDescent="0.25">
      <c r="A28" t="s">
        <v>79</v>
      </c>
      <c r="B28">
        <f t="shared" ref="B28:T28" si="12">IF($U$13=0,0,B$13/$U$13)</f>
        <v>2.707644032838965E-3</v>
      </c>
      <c r="C28">
        <f t="shared" si="12"/>
        <v>8.0535166284079781E-4</v>
      </c>
      <c r="D28">
        <f t="shared" si="12"/>
        <v>2.9493083976185535E-2</v>
      </c>
      <c r="E28">
        <f t="shared" si="12"/>
        <v>1.8400443143304249E-2</v>
      </c>
      <c r="F28">
        <f t="shared" si="12"/>
        <v>1.150639629615547E-2</v>
      </c>
      <c r="G28">
        <f t="shared" si="12"/>
        <v>6.4214883869469983E-2</v>
      </c>
      <c r="H28">
        <f t="shared" si="12"/>
        <v>1.1858998180243522E-2</v>
      </c>
      <c r="I28">
        <f t="shared" si="12"/>
        <v>2.1759049970445067E-2</v>
      </c>
      <c r="J28">
        <f t="shared" si="12"/>
        <v>1.6808693975664795E-2</v>
      </c>
      <c r="K28">
        <f t="shared" si="12"/>
        <v>2.2374638209981638E-3</v>
      </c>
      <c r="L28">
        <f t="shared" si="12"/>
        <v>5.807990000141814E-2</v>
      </c>
      <c r="M28">
        <f t="shared" si="12"/>
        <v>0.10247624187149389</v>
      </c>
      <c r="N28">
        <f t="shared" si="12"/>
        <v>2.5386984942040269E-3</v>
      </c>
      <c r="O28">
        <f t="shared" si="12"/>
        <v>1.369338908563065E-2</v>
      </c>
      <c r="P28">
        <f t="shared" si="12"/>
        <v>3.6295244226314742E-2</v>
      </c>
      <c r="Q28">
        <f t="shared" si="12"/>
        <v>0.56716394819219551</v>
      </c>
      <c r="R28">
        <f t="shared" si="12"/>
        <v>2.9757166951237073E-2</v>
      </c>
      <c r="S28">
        <f t="shared" si="12"/>
        <v>1.020340224935946E-2</v>
      </c>
      <c r="T28">
        <f t="shared" si="12"/>
        <v>0</v>
      </c>
      <c r="U28">
        <f t="shared" si="2"/>
        <v>1.0000000000000002</v>
      </c>
    </row>
    <row r="29" spans="1:21" x14ac:dyDescent="0.25">
      <c r="A29" t="s">
        <v>80</v>
      </c>
      <c r="B29">
        <f t="shared" ref="B29:T29" si="13">IF($U$14=0,0,B$14/$U$14)</f>
        <v>0</v>
      </c>
      <c r="C29">
        <f t="shared" si="13"/>
        <v>0</v>
      </c>
      <c r="D29">
        <f t="shared" si="13"/>
        <v>0</v>
      </c>
      <c r="E29">
        <f t="shared" si="13"/>
        <v>0</v>
      </c>
      <c r="F29">
        <f t="shared" si="13"/>
        <v>0</v>
      </c>
      <c r="G29">
        <f t="shared" si="13"/>
        <v>0</v>
      </c>
      <c r="H29">
        <f t="shared" si="13"/>
        <v>0</v>
      </c>
      <c r="I29">
        <f t="shared" si="13"/>
        <v>0</v>
      </c>
      <c r="J29">
        <f t="shared" si="13"/>
        <v>0</v>
      </c>
      <c r="K29">
        <f t="shared" si="13"/>
        <v>0</v>
      </c>
      <c r="L29">
        <f t="shared" si="13"/>
        <v>0</v>
      </c>
      <c r="M29">
        <f t="shared" si="13"/>
        <v>0</v>
      </c>
      <c r="N29">
        <f t="shared" si="13"/>
        <v>0</v>
      </c>
      <c r="O29">
        <f t="shared" si="13"/>
        <v>0</v>
      </c>
      <c r="P29">
        <f t="shared" si="13"/>
        <v>1</v>
      </c>
      <c r="Q29">
        <f t="shared" si="13"/>
        <v>0</v>
      </c>
      <c r="R29">
        <f t="shared" si="13"/>
        <v>0</v>
      </c>
      <c r="S29">
        <f t="shared" si="13"/>
        <v>0</v>
      </c>
      <c r="T29">
        <f t="shared" si="13"/>
        <v>0</v>
      </c>
      <c r="U29">
        <f t="shared" si="2"/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3"/>
  <sheetViews>
    <sheetView workbookViewId="0">
      <selection activeCell="B4" sqref="B4"/>
    </sheetView>
  </sheetViews>
  <sheetFormatPr defaultColWidth="11.42578125" defaultRowHeight="15" x14ac:dyDescent="0.25"/>
  <cols>
    <col min="1" max="1" width="44.7109375" customWidth="1"/>
    <col min="2" max="24" width="16.7109375" customWidth="1"/>
  </cols>
  <sheetData>
    <row r="1" spans="1:20" ht="15.75" x14ac:dyDescent="0.25">
      <c r="A1" s="1" t="s">
        <v>135</v>
      </c>
    </row>
    <row r="2" spans="1:20" ht="90" x14ac:dyDescent="0.25">
      <c r="A2" s="2" t="s">
        <v>131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92</v>
      </c>
      <c r="O2" s="2" t="s">
        <v>93</v>
      </c>
      <c r="P2" s="2" t="s">
        <v>95</v>
      </c>
      <c r="Q2" s="2" t="s">
        <v>96</v>
      </c>
      <c r="R2" s="2" t="s">
        <v>97</v>
      </c>
      <c r="S2" s="2" t="s">
        <v>98</v>
      </c>
      <c r="T2" s="2" t="s">
        <v>99</v>
      </c>
    </row>
    <row r="3" spans="1:20" x14ac:dyDescent="0.25">
      <c r="A3" t="s">
        <v>69</v>
      </c>
      <c r="B3">
        <f>'05_ALFA'!$B$18*'01_Recursos'!$S$2</f>
        <v>29.343951759756283</v>
      </c>
      <c r="C3">
        <f>'05_ALFA'!$C$18*'01_Recursos'!$S$2</f>
        <v>1.0203183725876518E-3</v>
      </c>
      <c r="D3">
        <f>'05_ALFA'!$D$18*'01_Recursos'!$S$2</f>
        <v>138.7921426896884</v>
      </c>
      <c r="E3">
        <f>'05_ALFA'!$E$18*'01_Recursos'!$S$2</f>
        <v>2.3178997702403142E-2</v>
      </c>
      <c r="F3">
        <f>'05_ALFA'!$F$18*'01_Recursos'!$S$2</f>
        <v>0.86734531547445748</v>
      </c>
      <c r="G3">
        <f>'05_ALFA'!$G$18*'01_Recursos'!$S$2</f>
        <v>5.5752916376026525</v>
      </c>
      <c r="H3">
        <f>'05_ALFA'!$H$18*'01_Recursos'!$S$2</f>
        <v>0</v>
      </c>
      <c r="I3">
        <f>'05_ALFA'!$I$18*'01_Recursos'!$S$2</f>
        <v>0</v>
      </c>
      <c r="J3">
        <f>'05_ALFA'!$J$18*'01_Recursos'!$S$2</f>
        <v>0</v>
      </c>
      <c r="K3">
        <f>'05_ALFA'!$K$18*'01_Recursos'!$S$2</f>
        <v>0</v>
      </c>
      <c r="L3">
        <f>'05_ALFA'!$L$18*'01_Recursos'!$S$2</f>
        <v>5.9207009419276488</v>
      </c>
      <c r="M3">
        <f>'05_ALFA'!$M$18*'01_Recursos'!$S$2</f>
        <v>3.9392404571646766</v>
      </c>
      <c r="N3">
        <f>'05_ALFA'!$N$18*'01_Recursos'!$S$2</f>
        <v>180.82533892006865</v>
      </c>
      <c r="O3">
        <f>'05_ALFA'!$O$18*'01_Recursos'!$S$2</f>
        <v>110.70589331767499</v>
      </c>
      <c r="P3">
        <f>'05_ALFA'!$P$18*'01_Recursos'!$S$2</f>
        <v>0.10630859458517178</v>
      </c>
      <c r="Q3">
        <f>'05_ALFA'!$Q$18*'01_Recursos'!$S$2</f>
        <v>259.28290049565317</v>
      </c>
      <c r="R3">
        <f>'05_ALFA'!$R$18*'01_Recursos'!$S$2</f>
        <v>0</v>
      </c>
      <c r="S3">
        <f>'05_ALFA'!$S$18*'01_Recursos'!$S$2</f>
        <v>14.615638103822441</v>
      </c>
      <c r="T3">
        <f>'05_ALFA'!$T$18*'01_Recursos'!$S$2</f>
        <v>71.815378481009517</v>
      </c>
    </row>
    <row r="4" spans="1:20" x14ac:dyDescent="0.25">
      <c r="A4" t="s">
        <v>70</v>
      </c>
      <c r="B4">
        <f>'05_ALFA'!$B$19*'01_Recursos'!$S$3</f>
        <v>0.92490211273808121</v>
      </c>
      <c r="C4">
        <f>'05_ALFA'!$C$19*'01_Recursos'!$S$3</f>
        <v>0.52178504123744229</v>
      </c>
      <c r="D4">
        <f>'05_ALFA'!$D$19*'01_Recursos'!$S$3</f>
        <v>15.670043990604286</v>
      </c>
      <c r="E4">
        <f>'05_ALFA'!$E$19*'01_Recursos'!$S$3</f>
        <v>0.42008272897742233</v>
      </c>
      <c r="F4">
        <f>'05_ALFA'!$F$19*'01_Recursos'!$S$3</f>
        <v>10.631779291040285</v>
      </c>
      <c r="G4">
        <f>'05_ALFA'!$G$19*'01_Recursos'!$S$3</f>
        <v>5.706718870860053E-2</v>
      </c>
      <c r="H4">
        <f>'05_ALFA'!$H$19*'01_Recursos'!$S$3</f>
        <v>4.8089466409750056E-4</v>
      </c>
      <c r="I4">
        <f>'05_ALFA'!$I$19*'01_Recursos'!$S$3</f>
        <v>0</v>
      </c>
      <c r="J4">
        <f>'05_ALFA'!$J$19*'01_Recursos'!$S$3</f>
        <v>0</v>
      </c>
      <c r="K4">
        <f>'05_ALFA'!$K$19*'01_Recursos'!$S$3</f>
        <v>0.61841046307455061</v>
      </c>
      <c r="L4">
        <f>'05_ALFA'!$L$19*'01_Recursos'!$S$3</f>
        <v>4.2852469206127203E-2</v>
      </c>
      <c r="M4">
        <f>'05_ALFA'!$M$19*'01_Recursos'!$S$3</f>
        <v>0.21130984362421859</v>
      </c>
      <c r="N4">
        <f>'05_ALFA'!$N$19*'01_Recursos'!$S$3</f>
        <v>0.38029447273991723</v>
      </c>
      <c r="O4">
        <f>'05_ALFA'!$O$19*'01_Recursos'!$S$3</f>
        <v>9.1865895930999457</v>
      </c>
      <c r="P4">
        <f>'05_ALFA'!$P$19*'01_Recursos'!$S$3</f>
        <v>0</v>
      </c>
      <c r="Q4">
        <f>'05_ALFA'!$Q$19*'01_Recursos'!$S$3</f>
        <v>0</v>
      </c>
      <c r="R4">
        <f>'05_ALFA'!$R$19*'01_Recursos'!$S$3</f>
        <v>0</v>
      </c>
      <c r="S4">
        <f>'05_ALFA'!$S$19*'01_Recursos'!$S$3</f>
        <v>0</v>
      </c>
      <c r="T4">
        <f>'05_ALFA'!$T$19*'01_Recursos'!$S$3</f>
        <v>6.3070834832633347</v>
      </c>
    </row>
    <row r="5" spans="1:20" x14ac:dyDescent="0.25">
      <c r="A5" t="s">
        <v>71</v>
      </c>
      <c r="B5">
        <f>'05_ALFA'!$B$20*'01_Recursos'!$S$4</f>
        <v>499.37194504844177</v>
      </c>
      <c r="C5">
        <f>'05_ALFA'!$C$20*'01_Recursos'!$S$4</f>
        <v>12.836671597261855</v>
      </c>
      <c r="D5">
        <f>'05_ALFA'!$D$20*'01_Recursos'!$S$4</f>
        <v>773.83462098126404</v>
      </c>
      <c r="E5">
        <f>'05_ALFA'!$E$20*'01_Recursos'!$S$4</f>
        <v>89.737138270091307</v>
      </c>
      <c r="F5">
        <f>'05_ALFA'!$F$20*'01_Recursos'!$S$4</f>
        <v>434.12408016938502</v>
      </c>
      <c r="G5">
        <f>'05_ALFA'!$G$20*'01_Recursos'!$S$4</f>
        <v>198.14976187410733</v>
      </c>
      <c r="H5">
        <f>'05_ALFA'!$H$20*'01_Recursos'!$S$4</f>
        <v>165.63238660479644</v>
      </c>
      <c r="I5">
        <f>'05_ALFA'!$I$20*'01_Recursos'!$S$4</f>
        <v>13.622462575649111</v>
      </c>
      <c r="J5">
        <f>'05_ALFA'!$J$20*'01_Recursos'!$S$4</f>
        <v>6.8608484094397992</v>
      </c>
      <c r="K5">
        <f>'05_ALFA'!$K$20*'01_Recursos'!$S$4</f>
        <v>11.455913464371861</v>
      </c>
      <c r="L5">
        <f>'05_ALFA'!$L$20*'01_Recursos'!$S$4</f>
        <v>261.59372883634302</v>
      </c>
      <c r="M5">
        <f>'05_ALFA'!$M$20*'01_Recursos'!$S$4</f>
        <v>208.6938628551901</v>
      </c>
      <c r="N5">
        <f>'05_ALFA'!$N$20*'01_Recursos'!$S$4</f>
        <v>114.74416458333316</v>
      </c>
      <c r="O5">
        <f>'05_ALFA'!$O$20*'01_Recursos'!$S$4</f>
        <v>1085.4625110497561</v>
      </c>
      <c r="P5">
        <f>'05_ALFA'!$P$20*'01_Recursos'!$S$4</f>
        <v>24.084879415960895</v>
      </c>
      <c r="Q5">
        <f>'05_ALFA'!$Q$20*'01_Recursos'!$S$4</f>
        <v>4964.8369797400937</v>
      </c>
      <c r="R5">
        <f>'05_ALFA'!$R$20*'01_Recursos'!$S$4</f>
        <v>0</v>
      </c>
      <c r="S5">
        <f>'05_ALFA'!$S$20*'01_Recursos'!$S$4</f>
        <v>497.50722253970281</v>
      </c>
      <c r="T5">
        <f>'05_ALFA'!$T$20*'01_Recursos'!$S$4</f>
        <v>461.17315700252988</v>
      </c>
    </row>
    <row r="6" spans="1:20" x14ac:dyDescent="0.25">
      <c r="A6" t="s">
        <v>72</v>
      </c>
      <c r="B6">
        <f>'05_ALFA'!$B$21*'01_Recursos'!$S$5</f>
        <v>0.42350350998193032</v>
      </c>
      <c r="C6">
        <f>'05_ALFA'!$C$21*'01_Recursos'!$S$5</f>
        <v>2.1614081581586168E-2</v>
      </c>
      <c r="D6">
        <f>'05_ALFA'!$D$21*'01_Recursos'!$S$5</f>
        <v>0.37469015099220537</v>
      </c>
      <c r="E6">
        <f>'05_ALFA'!$E$21*'01_Recursos'!$S$5</f>
        <v>4.0496039146889791</v>
      </c>
      <c r="F6">
        <f>'05_ALFA'!$F$21*'01_Recursos'!$S$5</f>
        <v>3.0118319221158849E-2</v>
      </c>
      <c r="G6">
        <f>'05_ALFA'!$G$21*'01_Recursos'!$S$5</f>
        <v>0.69917866070169921</v>
      </c>
      <c r="H6">
        <f>'05_ALFA'!$H$21*'01_Recursos'!$S$5</f>
        <v>7.1431660765137808E-2</v>
      </c>
      <c r="I6">
        <f>'05_ALFA'!$I$21*'01_Recursos'!$S$5</f>
        <v>5.9475170687346174E-2</v>
      </c>
      <c r="J6">
        <f>'05_ALFA'!$J$21*'01_Recursos'!$S$5</f>
        <v>3.5397397560269057E-2</v>
      </c>
      <c r="K6">
        <f>'05_ALFA'!$K$21*'01_Recursos'!$S$5</f>
        <v>1.9475424102283284E-2</v>
      </c>
      <c r="L6">
        <f>'05_ALFA'!$L$21*'01_Recursos'!$S$5</f>
        <v>0.59307545848696608</v>
      </c>
      <c r="M6">
        <f>'05_ALFA'!$M$21*'01_Recursos'!$S$5</f>
        <v>1.0452513961810723</v>
      </c>
      <c r="N6">
        <f>'05_ALFA'!$N$21*'01_Recursos'!$S$5</f>
        <v>0</v>
      </c>
      <c r="O6">
        <f>'05_ALFA'!$O$21*'01_Recursos'!$S$5</f>
        <v>1.6794386671851715</v>
      </c>
      <c r="P6">
        <f>'05_ALFA'!$P$21*'01_Recursos'!$S$5</f>
        <v>0</v>
      </c>
      <c r="Q6">
        <f>'05_ALFA'!$Q$21*'01_Recursos'!$S$5</f>
        <v>3.340292154859601</v>
      </c>
      <c r="R6">
        <f>'05_ALFA'!$R$21*'01_Recursos'!$S$5</f>
        <v>0</v>
      </c>
      <c r="S6">
        <f>'05_ALFA'!$S$21*'01_Recursos'!$S$5</f>
        <v>0</v>
      </c>
      <c r="T6">
        <f>'05_ALFA'!$T$21*'01_Recursos'!$S$5</f>
        <v>4.5729374903932729E-3</v>
      </c>
    </row>
    <row r="7" spans="1:20" x14ac:dyDescent="0.25">
      <c r="A7" t="s">
        <v>73</v>
      </c>
      <c r="B7">
        <f>'05_ALFA'!$B$22*'01_Recursos'!$S$6</f>
        <v>0</v>
      </c>
      <c r="C7">
        <f>'05_ALFA'!$C$22*'01_Recursos'!$S$6</f>
        <v>0</v>
      </c>
      <c r="D7">
        <f>'05_ALFA'!$D$22*'01_Recursos'!$S$6</f>
        <v>0</v>
      </c>
      <c r="E7">
        <f>'05_ALFA'!$E$22*'01_Recursos'!$S$6</f>
        <v>0</v>
      </c>
      <c r="F7">
        <f>'05_ALFA'!$F$22*'01_Recursos'!$S$6</f>
        <v>0</v>
      </c>
      <c r="G7">
        <f>'05_ALFA'!$G$22*'01_Recursos'!$S$6</f>
        <v>0</v>
      </c>
      <c r="H7">
        <f>'05_ALFA'!$H$22*'01_Recursos'!$S$6</f>
        <v>0</v>
      </c>
      <c r="I7">
        <f>'05_ALFA'!$I$22*'01_Recursos'!$S$6</f>
        <v>0</v>
      </c>
      <c r="J7">
        <f>'05_ALFA'!$J$22*'01_Recursos'!$S$6</f>
        <v>0</v>
      </c>
      <c r="K7">
        <f>'05_ALFA'!$K$22*'01_Recursos'!$S$6</f>
        <v>0</v>
      </c>
      <c r="L7">
        <f>'05_ALFA'!$L$22*'01_Recursos'!$S$6</f>
        <v>0</v>
      </c>
      <c r="M7">
        <f>'05_ALFA'!$M$22*'01_Recursos'!$S$6</f>
        <v>0</v>
      </c>
      <c r="N7">
        <f>'05_ALFA'!$N$22*'01_Recursos'!$S$6</f>
        <v>0</v>
      </c>
      <c r="O7">
        <f>'05_ALFA'!$O$22*'01_Recursos'!$S$6</f>
        <v>0</v>
      </c>
      <c r="P7">
        <f>'05_ALFA'!$P$22*'01_Recursos'!$S$6</f>
        <v>0</v>
      </c>
      <c r="Q7">
        <f>'05_ALFA'!$Q$22*'01_Recursos'!$S$6</f>
        <v>0</v>
      </c>
      <c r="R7">
        <f>'05_ALFA'!$R$22*'01_Recursos'!$S$6</f>
        <v>0</v>
      </c>
      <c r="S7">
        <f>'05_ALFA'!$S$22*'01_Recursos'!$S$6</f>
        <v>0</v>
      </c>
      <c r="T7">
        <f>'05_ALFA'!$T$22*'01_Recursos'!$S$6</f>
        <v>0</v>
      </c>
    </row>
    <row r="8" spans="1:20" x14ac:dyDescent="0.25">
      <c r="A8" t="s">
        <v>74</v>
      </c>
      <c r="B8">
        <f>'05_ALFA'!$B$23*'01_Recursos'!$S$7</f>
        <v>-53.691976512402441</v>
      </c>
      <c r="C8">
        <f>'05_ALFA'!$C$23*'01_Recursos'!$S$7</f>
        <v>-2.6314486747821837</v>
      </c>
      <c r="D8">
        <f>'05_ALFA'!$D$23*'01_Recursos'!$S$7</f>
        <v>-1033.0426181252492</v>
      </c>
      <c r="E8">
        <f>'05_ALFA'!$E$23*'01_Recursos'!$S$7</f>
        <v>-161.40710936514492</v>
      </c>
      <c r="F8">
        <f>'05_ALFA'!$F$23*'01_Recursos'!$S$7</f>
        <v>-69.583554334764912</v>
      </c>
      <c r="G8">
        <f>'05_ALFA'!$G$23*'01_Recursos'!$S$7</f>
        <v>-930.63762539605875</v>
      </c>
      <c r="H8">
        <f>'05_ALFA'!$H$23*'01_Recursos'!$S$7</f>
        <v>-616.06151229466218</v>
      </c>
      <c r="I8">
        <f>'05_ALFA'!$I$23*'01_Recursos'!$S$7</f>
        <v>-311.39445470349358</v>
      </c>
      <c r="J8">
        <f>'05_ALFA'!$J$23*'01_Recursos'!$S$7</f>
        <v>-6.234561737265266</v>
      </c>
      <c r="K8">
        <f>'05_ALFA'!$K$23*'01_Recursos'!$S$7</f>
        <v>-1.6524473441139631</v>
      </c>
      <c r="L8">
        <f>'05_ALFA'!$L$23*'01_Recursos'!$S$7</f>
        <v>-162.02107266078721</v>
      </c>
      <c r="M8">
        <f>'05_ALFA'!$M$23*'01_Recursos'!$S$7</f>
        <v>-701.1940502892146</v>
      </c>
      <c r="N8">
        <f>'05_ALFA'!$N$23*'01_Recursos'!$S$7</f>
        <v>-356.59599346077238</v>
      </c>
      <c r="O8">
        <f>'05_ALFA'!$O$23*'01_Recursos'!$S$7</f>
        <v>0</v>
      </c>
      <c r="P8">
        <f>'05_ALFA'!$P$23*'01_Recursos'!$S$7</f>
        <v>0</v>
      </c>
      <c r="Q8">
        <f>'05_ALFA'!$Q$23*'01_Recursos'!$S$7</f>
        <v>-6388.9837080013895</v>
      </c>
      <c r="R8">
        <f>'05_ALFA'!$R$23*'01_Recursos'!$S$7</f>
        <v>0</v>
      </c>
      <c r="S8">
        <f>'05_ALFA'!$S$23*'01_Recursos'!$S$7</f>
        <v>0</v>
      </c>
      <c r="T8">
        <f>'05_ALFA'!$T$23*'01_Recursos'!$S$7</f>
        <v>0</v>
      </c>
    </row>
    <row r="9" spans="1:20" x14ac:dyDescent="0.25">
      <c r="A9" t="s">
        <v>75</v>
      </c>
      <c r="B9">
        <f>'05_ALFA'!$B$24*'01_Recursos'!$S$8</f>
        <v>0</v>
      </c>
      <c r="C9">
        <f>'05_ALFA'!$C$24*'01_Recursos'!$S$8</f>
        <v>0</v>
      </c>
      <c r="D9">
        <f>'05_ALFA'!$D$24*'01_Recursos'!$S$8</f>
        <v>0</v>
      </c>
      <c r="E9">
        <f>'05_ALFA'!$E$24*'01_Recursos'!$S$8</f>
        <v>0</v>
      </c>
      <c r="F9">
        <f>'05_ALFA'!$F$24*'01_Recursos'!$S$8</f>
        <v>0</v>
      </c>
      <c r="G9">
        <f>'05_ALFA'!$G$24*'01_Recursos'!$S$8</f>
        <v>0</v>
      </c>
      <c r="H9">
        <f>'05_ALFA'!$H$24*'01_Recursos'!$S$8</f>
        <v>0</v>
      </c>
      <c r="I9">
        <f>'05_ALFA'!$I$24*'01_Recursos'!$S$8</f>
        <v>0</v>
      </c>
      <c r="J9">
        <f>'05_ALFA'!$J$24*'01_Recursos'!$S$8</f>
        <v>0</v>
      </c>
      <c r="K9">
        <f>'05_ALFA'!$K$24*'01_Recursos'!$S$8</f>
        <v>0</v>
      </c>
      <c r="L9">
        <f>'05_ALFA'!$L$24*'01_Recursos'!$S$8</f>
        <v>0</v>
      </c>
      <c r="M9">
        <f>'05_ALFA'!$M$24*'01_Recursos'!$S$8</f>
        <v>0</v>
      </c>
      <c r="N9">
        <f>'05_ALFA'!$N$24*'01_Recursos'!$S$8</f>
        <v>0</v>
      </c>
      <c r="O9">
        <f>'05_ALFA'!$O$24*'01_Recursos'!$S$8</f>
        <v>0</v>
      </c>
      <c r="P9">
        <f>'05_ALFA'!$P$24*'01_Recursos'!$S$8</f>
        <v>0</v>
      </c>
      <c r="Q9">
        <f>'05_ALFA'!$Q$24*'01_Recursos'!$S$8</f>
        <v>0</v>
      </c>
      <c r="R9">
        <f>'05_ALFA'!$R$24*'01_Recursos'!$S$8</f>
        <v>0</v>
      </c>
      <c r="S9">
        <f>'05_ALFA'!$S$24*'01_Recursos'!$S$8</f>
        <v>0</v>
      </c>
      <c r="T9">
        <f>'05_ALFA'!$T$24*'01_Recursos'!$S$8</f>
        <v>0</v>
      </c>
    </row>
    <row r="10" spans="1:20" x14ac:dyDescent="0.25">
      <c r="A10" t="s">
        <v>76</v>
      </c>
      <c r="B10">
        <f>'05_ALFA'!$B$25*'01_Recursos'!$S$9</f>
        <v>2.5456829500189137E-2</v>
      </c>
      <c r="C10">
        <f>'05_ALFA'!$C$25*'01_Recursos'!$S$9</f>
        <v>9.4321776193931825E-3</v>
      </c>
      <c r="D10">
        <f>'05_ALFA'!$D$25*'01_Recursos'!$S$9</f>
        <v>2.0121190193540031</v>
      </c>
      <c r="E10">
        <f>'05_ALFA'!$E$25*'01_Recursos'!$S$9</f>
        <v>1.6969908547285353</v>
      </c>
      <c r="F10">
        <f>'05_ALFA'!$F$25*'01_Recursos'!$S$9</f>
        <v>0.69073276751127011</v>
      </c>
      <c r="G10">
        <f>'05_ALFA'!$G$25*'01_Recursos'!$S$9</f>
        <v>6.3625854232116916</v>
      </c>
      <c r="H10">
        <f>'05_ALFA'!$H$25*'01_Recursos'!$S$9</f>
        <v>1.3112403934264607</v>
      </c>
      <c r="I10">
        <f>'05_ALFA'!$I$25*'01_Recursos'!$S$9</f>
        <v>10.785992997572475</v>
      </c>
      <c r="J10">
        <f>'05_ALFA'!$J$25*'01_Recursos'!$S$9</f>
        <v>4.3452907714828823</v>
      </c>
      <c r="K10">
        <f>'05_ALFA'!$K$25*'01_Recursos'!$S$9</f>
        <v>0.24677845119227981</v>
      </c>
      <c r="L10">
        <f>'05_ALFA'!$L$25*'01_Recursos'!$S$9</f>
        <v>8.4461834737237265</v>
      </c>
      <c r="M10">
        <f>'05_ALFA'!$M$25*'01_Recursos'!$S$9</f>
        <v>16.476712838608464</v>
      </c>
      <c r="N10">
        <f>'05_ALFA'!$N$25*'01_Recursos'!$S$9</f>
        <v>0.11035925098784691</v>
      </c>
      <c r="O10">
        <f>'05_ALFA'!$O$25*'01_Recursos'!$S$9</f>
        <v>1.1005358613590521</v>
      </c>
      <c r="P10">
        <f>'05_ALFA'!$P$25*'01_Recursos'!$S$9</f>
        <v>0</v>
      </c>
      <c r="Q10">
        <f>'05_ALFA'!$Q$25*'01_Recursos'!$S$9</f>
        <v>34.026690399240621</v>
      </c>
      <c r="R10">
        <f>'05_ALFA'!$R$25*'01_Recursos'!$S$9</f>
        <v>0</v>
      </c>
      <c r="S10">
        <f>'05_ALFA'!$S$25*'01_Recursos'!$S$9</f>
        <v>4.5473720133129518</v>
      </c>
      <c r="T10">
        <f>'05_ALFA'!$T$25*'01_Recursos'!$S$9</f>
        <v>-1.8806148448358748E-2</v>
      </c>
    </row>
    <row r="11" spans="1:20" x14ac:dyDescent="0.25">
      <c r="A11" t="s">
        <v>77</v>
      </c>
      <c r="B11">
        <f>'05_ALFA'!$B$26*'01_Recursos'!$S$10</f>
        <v>0</v>
      </c>
      <c r="C11">
        <f>'05_ALFA'!$C$26*'01_Recursos'!$S$10</f>
        <v>0</v>
      </c>
      <c r="D11">
        <f>'05_ALFA'!$D$26*'01_Recursos'!$S$10</f>
        <v>0</v>
      </c>
      <c r="E11">
        <f>'05_ALFA'!$E$26*'01_Recursos'!$S$10</f>
        <v>0</v>
      </c>
      <c r="F11">
        <f>'05_ALFA'!$F$26*'01_Recursos'!$S$10</f>
        <v>0</v>
      </c>
      <c r="G11">
        <f>'05_ALFA'!$G$26*'01_Recursos'!$S$10</f>
        <v>0</v>
      </c>
      <c r="H11">
        <f>'05_ALFA'!$H$26*'01_Recursos'!$S$10</f>
        <v>0</v>
      </c>
      <c r="I11">
        <f>'05_ALFA'!$I$26*'01_Recursos'!$S$10</f>
        <v>0</v>
      </c>
      <c r="J11">
        <f>'05_ALFA'!$J$26*'01_Recursos'!$S$10</f>
        <v>0</v>
      </c>
      <c r="K11">
        <f>'05_ALFA'!$K$26*'01_Recursos'!$S$10</f>
        <v>0</v>
      </c>
      <c r="L11">
        <f>'05_ALFA'!$L$26*'01_Recursos'!$S$10</f>
        <v>0</v>
      </c>
      <c r="M11">
        <f>'05_ALFA'!$M$26*'01_Recursos'!$S$10</f>
        <v>0</v>
      </c>
      <c r="N11">
        <f>'05_ALFA'!$N$26*'01_Recursos'!$S$10</f>
        <v>0</v>
      </c>
      <c r="O11">
        <f>'05_ALFA'!$O$26*'01_Recursos'!$S$10</f>
        <v>0</v>
      </c>
      <c r="P11">
        <f>'05_ALFA'!$P$26*'01_Recursos'!$S$10</f>
        <v>0</v>
      </c>
      <c r="Q11">
        <f>'05_ALFA'!$Q$26*'01_Recursos'!$S$10</f>
        <v>0</v>
      </c>
      <c r="R11">
        <f>'05_ALFA'!$R$26*'01_Recursos'!$S$10</f>
        <v>0</v>
      </c>
      <c r="S11">
        <f>'05_ALFA'!$S$26*'01_Recursos'!$S$10</f>
        <v>0</v>
      </c>
      <c r="T11">
        <f>'05_ALFA'!$T$26*'01_Recursos'!$S$10</f>
        <v>0</v>
      </c>
    </row>
    <row r="12" spans="1:20" x14ac:dyDescent="0.25">
      <c r="A12" t="s">
        <v>78</v>
      </c>
      <c r="B12">
        <f>'05_ALFA'!$B$27*'01_Recursos'!$S$11</f>
        <v>0</v>
      </c>
      <c r="C12">
        <f>'05_ALFA'!$C$27*'01_Recursos'!$S$11</f>
        <v>0</v>
      </c>
      <c r="D12">
        <f>'05_ALFA'!$D$27*'01_Recursos'!$S$11</f>
        <v>0</v>
      </c>
      <c r="E12">
        <f>'05_ALFA'!$E$27*'01_Recursos'!$S$11</f>
        <v>0</v>
      </c>
      <c r="F12">
        <f>'05_ALFA'!$F$27*'01_Recursos'!$S$11</f>
        <v>0</v>
      </c>
      <c r="G12">
        <f>'05_ALFA'!$G$27*'01_Recursos'!$S$11</f>
        <v>0</v>
      </c>
      <c r="H12">
        <f>'05_ALFA'!$H$27*'01_Recursos'!$S$11</f>
        <v>0</v>
      </c>
      <c r="I12">
        <f>'05_ALFA'!$I$27*'01_Recursos'!$S$11</f>
        <v>0</v>
      </c>
      <c r="J12">
        <f>'05_ALFA'!$J$27*'01_Recursos'!$S$11</f>
        <v>0</v>
      </c>
      <c r="K12">
        <f>'05_ALFA'!$K$27*'01_Recursos'!$S$11</f>
        <v>0</v>
      </c>
      <c r="L12">
        <f>'05_ALFA'!$L$27*'01_Recursos'!$S$11</f>
        <v>0</v>
      </c>
      <c r="M12">
        <f>'05_ALFA'!$M$27*'01_Recursos'!$S$11</f>
        <v>0</v>
      </c>
      <c r="N12">
        <f>'05_ALFA'!$N$27*'01_Recursos'!$S$11</f>
        <v>0</v>
      </c>
      <c r="O12">
        <f>'05_ALFA'!$O$27*'01_Recursos'!$S$11</f>
        <v>0</v>
      </c>
      <c r="P12">
        <f>'05_ALFA'!$P$27*'01_Recursos'!$S$11</f>
        <v>0</v>
      </c>
      <c r="Q12">
        <f>'05_ALFA'!$Q$27*'01_Recursos'!$S$11</f>
        <v>0</v>
      </c>
      <c r="R12">
        <f>'05_ALFA'!$R$27*'01_Recursos'!$S$11</f>
        <v>0</v>
      </c>
      <c r="S12">
        <f>'05_ALFA'!$S$27*'01_Recursos'!$S$11</f>
        <v>0</v>
      </c>
      <c r="T12">
        <f>'05_ALFA'!$T$27*'01_Recursos'!$S$11</f>
        <v>0</v>
      </c>
    </row>
    <row r="13" spans="1:20" x14ac:dyDescent="0.25">
      <c r="A13" t="s">
        <v>79</v>
      </c>
      <c r="B13">
        <f>'05_ALFA'!$B$28*'01_Recursos'!$S$12</f>
        <v>0</v>
      </c>
      <c r="C13">
        <f>'05_ALFA'!$C$28*'01_Recursos'!$S$12</f>
        <v>0</v>
      </c>
      <c r="D13">
        <f>'05_ALFA'!$D$28*'01_Recursos'!$S$12</f>
        <v>0</v>
      </c>
      <c r="E13">
        <f>'05_ALFA'!$E$28*'01_Recursos'!$S$12</f>
        <v>0</v>
      </c>
      <c r="F13">
        <f>'05_ALFA'!$F$28*'01_Recursos'!$S$12</f>
        <v>0</v>
      </c>
      <c r="G13">
        <f>'05_ALFA'!$G$28*'01_Recursos'!$S$12</f>
        <v>0</v>
      </c>
      <c r="H13">
        <f>'05_ALFA'!$H$28*'01_Recursos'!$S$12</f>
        <v>0</v>
      </c>
      <c r="I13">
        <f>'05_ALFA'!$I$28*'01_Recursos'!$S$12</f>
        <v>0</v>
      </c>
      <c r="J13">
        <f>'05_ALFA'!$J$28*'01_Recursos'!$S$12</f>
        <v>0</v>
      </c>
      <c r="K13">
        <f>'05_ALFA'!$K$28*'01_Recursos'!$S$12</f>
        <v>0</v>
      </c>
      <c r="L13">
        <f>'05_ALFA'!$L$28*'01_Recursos'!$S$12</f>
        <v>0</v>
      </c>
      <c r="M13">
        <f>'05_ALFA'!$M$28*'01_Recursos'!$S$12</f>
        <v>0</v>
      </c>
      <c r="N13">
        <f>'05_ALFA'!$N$28*'01_Recursos'!$S$12</f>
        <v>0</v>
      </c>
      <c r="O13">
        <f>'05_ALFA'!$O$28*'01_Recursos'!$S$12</f>
        <v>0</v>
      </c>
      <c r="P13">
        <f>'05_ALFA'!$P$28*'01_Recursos'!$S$12</f>
        <v>0</v>
      </c>
      <c r="Q13">
        <f>'05_ALFA'!$Q$28*'01_Recursos'!$S$12</f>
        <v>0</v>
      </c>
      <c r="R13">
        <f>'05_ALFA'!$R$28*'01_Recursos'!$S$12</f>
        <v>0</v>
      </c>
      <c r="S13">
        <f>'05_ALFA'!$S$28*'01_Recursos'!$S$12</f>
        <v>0</v>
      </c>
      <c r="T13">
        <f>'05_ALFA'!$T$28*'01_Recursos'!$S$12</f>
        <v>0</v>
      </c>
    </row>
    <row r="14" spans="1:20" x14ac:dyDescent="0.25">
      <c r="A14" t="s">
        <v>80</v>
      </c>
      <c r="B14">
        <f>'05_ALFA'!$B$29*'01_Recursos'!$S$13</f>
        <v>0</v>
      </c>
      <c r="C14">
        <f>'05_ALFA'!$C$29*'01_Recursos'!$S$13</f>
        <v>0</v>
      </c>
      <c r="D14">
        <f>'05_ALFA'!$D$29*'01_Recursos'!$S$13</f>
        <v>0</v>
      </c>
      <c r="E14">
        <f>'05_ALFA'!$E$29*'01_Recursos'!$S$13</f>
        <v>0</v>
      </c>
      <c r="F14">
        <f>'05_ALFA'!$F$29*'01_Recursos'!$S$13</f>
        <v>0</v>
      </c>
      <c r="G14">
        <f>'05_ALFA'!$G$29*'01_Recursos'!$S$13</f>
        <v>0</v>
      </c>
      <c r="H14">
        <f>'05_ALFA'!$H$29*'01_Recursos'!$S$13</f>
        <v>0</v>
      </c>
      <c r="I14">
        <f>'05_ALFA'!$I$29*'01_Recursos'!$S$13</f>
        <v>0</v>
      </c>
      <c r="J14">
        <f>'05_ALFA'!$J$29*'01_Recursos'!$S$13</f>
        <v>0</v>
      </c>
      <c r="K14">
        <f>'05_ALFA'!$K$29*'01_Recursos'!$S$13</f>
        <v>0</v>
      </c>
      <c r="L14">
        <f>'05_ALFA'!$L$29*'01_Recursos'!$S$13</f>
        <v>0</v>
      </c>
      <c r="M14">
        <f>'05_ALFA'!$M$29*'01_Recursos'!$S$13</f>
        <v>0</v>
      </c>
      <c r="N14">
        <f>'05_ALFA'!$N$29*'01_Recursos'!$S$13</f>
        <v>0</v>
      </c>
      <c r="O14">
        <f>'05_ALFA'!$O$29*'01_Recursos'!$S$13</f>
        <v>0</v>
      </c>
      <c r="P14">
        <f>'05_ALFA'!$P$29*'01_Recursos'!$S$13</f>
        <v>0</v>
      </c>
      <c r="Q14">
        <f>'05_ALFA'!$Q$29*'01_Recursos'!$S$13</f>
        <v>0</v>
      </c>
      <c r="R14">
        <f>'05_ALFA'!$R$29*'01_Recursos'!$S$13</f>
        <v>0</v>
      </c>
      <c r="S14">
        <f>'05_ALFA'!$S$29*'01_Recursos'!$S$13</f>
        <v>0</v>
      </c>
      <c r="T14">
        <f>'05_ALFA'!$T$29*'01_Recursos'!$S$13</f>
        <v>0</v>
      </c>
    </row>
    <row r="16" spans="1:20" x14ac:dyDescent="0.25">
      <c r="A16" s="3" t="s">
        <v>136</v>
      </c>
      <c r="B16">
        <f t="shared" ref="B16:T16" si="0">SUM(B3:B14)-B8</f>
        <v>530.0897592604183</v>
      </c>
      <c r="C16">
        <f t="shared" si="0"/>
        <v>13.390523216072864</v>
      </c>
      <c r="D16">
        <f t="shared" si="0"/>
        <v>930.68361683190301</v>
      </c>
      <c r="E16">
        <f t="shared" si="0"/>
        <v>95.926994766188642</v>
      </c>
      <c r="F16">
        <f t="shared" si="0"/>
        <v>446.34405586263222</v>
      </c>
      <c r="G16">
        <f t="shared" si="0"/>
        <v>210.84388478433198</v>
      </c>
      <c r="H16">
        <f t="shared" si="0"/>
        <v>167.01553955365216</v>
      </c>
      <c r="I16">
        <f t="shared" si="0"/>
        <v>24.467930743908937</v>
      </c>
      <c r="J16">
        <f t="shared" si="0"/>
        <v>11.24153657848295</v>
      </c>
      <c r="K16">
        <f t="shared" si="0"/>
        <v>12.340577802740974</v>
      </c>
      <c r="L16">
        <f t="shared" si="0"/>
        <v>276.59654117968751</v>
      </c>
      <c r="M16">
        <f t="shared" si="0"/>
        <v>230.36637739076855</v>
      </c>
      <c r="N16">
        <f t="shared" si="0"/>
        <v>296.06015722712959</v>
      </c>
      <c r="O16">
        <f t="shared" si="0"/>
        <v>1208.1349684890754</v>
      </c>
      <c r="P16">
        <f t="shared" si="0"/>
        <v>24.191188010546067</v>
      </c>
      <c r="Q16">
        <f t="shared" si="0"/>
        <v>5261.4868627898468</v>
      </c>
      <c r="R16">
        <f t="shared" si="0"/>
        <v>0</v>
      </c>
      <c r="S16">
        <f t="shared" si="0"/>
        <v>516.67023265683815</v>
      </c>
      <c r="T16">
        <f t="shared" si="0"/>
        <v>539.28138575584478</v>
      </c>
    </row>
    <row r="18" spans="1:20" ht="15.75" x14ac:dyDescent="0.25">
      <c r="A18" s="1" t="s">
        <v>137</v>
      </c>
    </row>
    <row r="19" spans="1:20" ht="90" x14ac:dyDescent="0.25">
      <c r="A19" s="2" t="s">
        <v>131</v>
      </c>
      <c r="B19" s="2" t="s">
        <v>69</v>
      </c>
      <c r="C19" s="2" t="s">
        <v>70</v>
      </c>
      <c r="D19" s="2" t="s">
        <v>71</v>
      </c>
      <c r="E19" s="2" t="s">
        <v>72</v>
      </c>
      <c r="F19" s="2" t="s">
        <v>73</v>
      </c>
      <c r="G19" s="2" t="s">
        <v>74</v>
      </c>
      <c r="H19" s="2" t="s">
        <v>75</v>
      </c>
      <c r="I19" s="2" t="s">
        <v>76</v>
      </c>
      <c r="J19" s="2" t="s">
        <v>77</v>
      </c>
      <c r="K19" s="2" t="s">
        <v>78</v>
      </c>
      <c r="L19" s="2" t="s">
        <v>79</v>
      </c>
      <c r="M19" s="2" t="s">
        <v>80</v>
      </c>
      <c r="N19" s="2" t="s">
        <v>92</v>
      </c>
      <c r="O19" s="2" t="s">
        <v>93</v>
      </c>
      <c r="P19" s="2" t="s">
        <v>95</v>
      </c>
      <c r="Q19" s="2" t="s">
        <v>96</v>
      </c>
      <c r="R19" s="2" t="s">
        <v>97</v>
      </c>
      <c r="S19" s="2" t="s">
        <v>98</v>
      </c>
      <c r="T19" s="2" t="s">
        <v>99</v>
      </c>
    </row>
    <row r="20" spans="1:20" x14ac:dyDescent="0.25">
      <c r="A20" t="s">
        <v>69</v>
      </c>
      <c r="B20">
        <f t="shared" ref="B20:T20" si="1">B$3</f>
        <v>29.343951759756283</v>
      </c>
      <c r="C20">
        <f t="shared" si="1"/>
        <v>1.0203183725876518E-3</v>
      </c>
      <c r="D20">
        <f t="shared" si="1"/>
        <v>138.7921426896884</v>
      </c>
      <c r="E20">
        <f t="shared" si="1"/>
        <v>2.3178997702403142E-2</v>
      </c>
      <c r="F20">
        <f t="shared" si="1"/>
        <v>0.86734531547445748</v>
      </c>
      <c r="G20">
        <f t="shared" si="1"/>
        <v>5.5752916376026525</v>
      </c>
      <c r="H20">
        <f t="shared" si="1"/>
        <v>0</v>
      </c>
      <c r="I20">
        <f t="shared" si="1"/>
        <v>0</v>
      </c>
      <c r="J20">
        <f t="shared" si="1"/>
        <v>0</v>
      </c>
      <c r="K20">
        <f t="shared" si="1"/>
        <v>0</v>
      </c>
      <c r="L20">
        <f t="shared" si="1"/>
        <v>5.9207009419276488</v>
      </c>
      <c r="M20">
        <f t="shared" si="1"/>
        <v>3.9392404571646766</v>
      </c>
      <c r="N20">
        <f t="shared" si="1"/>
        <v>180.82533892006865</v>
      </c>
      <c r="O20">
        <f t="shared" si="1"/>
        <v>110.70589331767499</v>
      </c>
      <c r="P20">
        <f t="shared" si="1"/>
        <v>0.10630859458517178</v>
      </c>
      <c r="Q20">
        <f t="shared" si="1"/>
        <v>259.28290049565317</v>
      </c>
      <c r="R20">
        <f t="shared" si="1"/>
        <v>0</v>
      </c>
      <c r="S20">
        <f t="shared" si="1"/>
        <v>14.615638103822441</v>
      </c>
      <c r="T20">
        <f t="shared" si="1"/>
        <v>71.815378481009517</v>
      </c>
    </row>
    <row r="21" spans="1:20" x14ac:dyDescent="0.25">
      <c r="A21" t="s">
        <v>70</v>
      </c>
      <c r="B21">
        <f t="shared" ref="B21:T21" si="2">B$4</f>
        <v>0.92490211273808121</v>
      </c>
      <c r="C21">
        <f t="shared" si="2"/>
        <v>0.52178504123744229</v>
      </c>
      <c r="D21">
        <f t="shared" si="2"/>
        <v>15.670043990604286</v>
      </c>
      <c r="E21">
        <f t="shared" si="2"/>
        <v>0.42008272897742233</v>
      </c>
      <c r="F21">
        <f t="shared" si="2"/>
        <v>10.631779291040285</v>
      </c>
      <c r="G21">
        <f t="shared" si="2"/>
        <v>5.706718870860053E-2</v>
      </c>
      <c r="H21">
        <f t="shared" si="2"/>
        <v>4.8089466409750056E-4</v>
      </c>
      <c r="I21">
        <f t="shared" si="2"/>
        <v>0</v>
      </c>
      <c r="J21">
        <f t="shared" si="2"/>
        <v>0</v>
      </c>
      <c r="K21">
        <f t="shared" si="2"/>
        <v>0.61841046307455061</v>
      </c>
      <c r="L21">
        <f t="shared" si="2"/>
        <v>4.2852469206127203E-2</v>
      </c>
      <c r="M21">
        <f t="shared" si="2"/>
        <v>0.21130984362421859</v>
      </c>
      <c r="N21">
        <f t="shared" si="2"/>
        <v>0.38029447273991723</v>
      </c>
      <c r="O21">
        <f t="shared" si="2"/>
        <v>9.1865895930999457</v>
      </c>
      <c r="P21">
        <f t="shared" si="2"/>
        <v>0</v>
      </c>
      <c r="Q21">
        <f t="shared" si="2"/>
        <v>0</v>
      </c>
      <c r="R21">
        <f t="shared" si="2"/>
        <v>0</v>
      </c>
      <c r="S21">
        <f t="shared" si="2"/>
        <v>0</v>
      </c>
      <c r="T21">
        <f t="shared" si="2"/>
        <v>6.3070834832633347</v>
      </c>
    </row>
    <row r="22" spans="1:20" x14ac:dyDescent="0.25">
      <c r="A22" t="s">
        <v>71</v>
      </c>
      <c r="B22">
        <f t="shared" ref="B22:T22" si="3">B$5</f>
        <v>499.37194504844177</v>
      </c>
      <c r="C22">
        <f t="shared" si="3"/>
        <v>12.836671597261855</v>
      </c>
      <c r="D22">
        <f t="shared" si="3"/>
        <v>773.83462098126404</v>
      </c>
      <c r="E22">
        <f t="shared" si="3"/>
        <v>89.737138270091307</v>
      </c>
      <c r="F22">
        <f t="shared" si="3"/>
        <v>434.12408016938502</v>
      </c>
      <c r="G22">
        <f t="shared" si="3"/>
        <v>198.14976187410733</v>
      </c>
      <c r="H22">
        <f t="shared" si="3"/>
        <v>165.63238660479644</v>
      </c>
      <c r="I22">
        <f t="shared" si="3"/>
        <v>13.622462575649111</v>
      </c>
      <c r="J22">
        <f t="shared" si="3"/>
        <v>6.8608484094397992</v>
      </c>
      <c r="K22">
        <f t="shared" si="3"/>
        <v>11.455913464371861</v>
      </c>
      <c r="L22">
        <f t="shared" si="3"/>
        <v>261.59372883634302</v>
      </c>
      <c r="M22">
        <f t="shared" si="3"/>
        <v>208.6938628551901</v>
      </c>
      <c r="N22">
        <f t="shared" si="3"/>
        <v>114.74416458333316</v>
      </c>
      <c r="O22">
        <f t="shared" si="3"/>
        <v>1085.4625110497561</v>
      </c>
      <c r="P22">
        <f t="shared" si="3"/>
        <v>24.084879415960895</v>
      </c>
      <c r="Q22">
        <f t="shared" si="3"/>
        <v>4964.8369797400937</v>
      </c>
      <c r="R22">
        <f t="shared" si="3"/>
        <v>0</v>
      </c>
      <c r="S22">
        <f t="shared" si="3"/>
        <v>497.50722253970281</v>
      </c>
      <c r="T22">
        <f t="shared" si="3"/>
        <v>461.17315700252988</v>
      </c>
    </row>
    <row r="23" spans="1:20" x14ac:dyDescent="0.25">
      <c r="A23" t="s">
        <v>72</v>
      </c>
      <c r="B23">
        <f t="shared" ref="B23:T23" si="4">B$6</f>
        <v>0.42350350998193032</v>
      </c>
      <c r="C23">
        <f t="shared" si="4"/>
        <v>2.1614081581586168E-2</v>
      </c>
      <c r="D23">
        <f t="shared" si="4"/>
        <v>0.37469015099220537</v>
      </c>
      <c r="E23">
        <f t="shared" si="4"/>
        <v>4.0496039146889791</v>
      </c>
      <c r="F23">
        <f t="shared" si="4"/>
        <v>3.0118319221158849E-2</v>
      </c>
      <c r="G23">
        <f t="shared" si="4"/>
        <v>0.69917866070169921</v>
      </c>
      <c r="H23">
        <f t="shared" si="4"/>
        <v>7.1431660765137808E-2</v>
      </c>
      <c r="I23">
        <f t="shared" si="4"/>
        <v>5.9475170687346174E-2</v>
      </c>
      <c r="J23">
        <f t="shared" si="4"/>
        <v>3.5397397560269057E-2</v>
      </c>
      <c r="K23">
        <f t="shared" si="4"/>
        <v>1.9475424102283284E-2</v>
      </c>
      <c r="L23">
        <f t="shared" si="4"/>
        <v>0.59307545848696608</v>
      </c>
      <c r="M23">
        <f t="shared" si="4"/>
        <v>1.0452513961810723</v>
      </c>
      <c r="N23">
        <f t="shared" si="4"/>
        <v>0</v>
      </c>
      <c r="O23">
        <f t="shared" si="4"/>
        <v>1.6794386671851715</v>
      </c>
      <c r="P23">
        <f t="shared" si="4"/>
        <v>0</v>
      </c>
      <c r="Q23">
        <f t="shared" si="4"/>
        <v>3.340292154859601</v>
      </c>
      <c r="R23">
        <f t="shared" si="4"/>
        <v>0</v>
      </c>
      <c r="S23">
        <f t="shared" si="4"/>
        <v>0</v>
      </c>
      <c r="T23">
        <f t="shared" si="4"/>
        <v>4.5729374903932729E-3</v>
      </c>
    </row>
    <row r="24" spans="1:20" x14ac:dyDescent="0.25">
      <c r="A24" t="s">
        <v>73</v>
      </c>
      <c r="B24">
        <f t="shared" ref="B24:T24" si="5">B$7</f>
        <v>0</v>
      </c>
      <c r="C24">
        <f t="shared" si="5"/>
        <v>0</v>
      </c>
      <c r="D24">
        <f t="shared" si="5"/>
        <v>0</v>
      </c>
      <c r="E24">
        <f t="shared" si="5"/>
        <v>0</v>
      </c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0</v>
      </c>
      <c r="J24">
        <f t="shared" si="5"/>
        <v>0</v>
      </c>
      <c r="K24">
        <f t="shared" si="5"/>
        <v>0</v>
      </c>
      <c r="L24">
        <f t="shared" si="5"/>
        <v>0</v>
      </c>
      <c r="M24">
        <f t="shared" si="5"/>
        <v>0</v>
      </c>
      <c r="N24">
        <f t="shared" si="5"/>
        <v>0</v>
      </c>
      <c r="O24">
        <f t="shared" si="5"/>
        <v>0</v>
      </c>
      <c r="P24">
        <f t="shared" si="5"/>
        <v>0</v>
      </c>
      <c r="Q24">
        <f t="shared" si="5"/>
        <v>0</v>
      </c>
      <c r="R24">
        <f t="shared" si="5"/>
        <v>0</v>
      </c>
      <c r="S24">
        <f t="shared" si="5"/>
        <v>0</v>
      </c>
      <c r="T24">
        <f t="shared" si="5"/>
        <v>0</v>
      </c>
    </row>
    <row r="25" spans="1:20" x14ac:dyDescent="0.25">
      <c r="A25" t="s">
        <v>74</v>
      </c>
      <c r="B25">
        <f t="shared" ref="B25:T25" si="6">-B$16</f>
        <v>-530.0897592604183</v>
      </c>
      <c r="C25">
        <f t="shared" si="6"/>
        <v>-13.390523216072864</v>
      </c>
      <c r="D25">
        <f t="shared" si="6"/>
        <v>-930.68361683190301</v>
      </c>
      <c r="E25">
        <f t="shared" si="6"/>
        <v>-95.926994766188642</v>
      </c>
      <c r="F25">
        <f t="shared" si="6"/>
        <v>-446.34405586263222</v>
      </c>
      <c r="G25">
        <f t="shared" si="6"/>
        <v>-210.84388478433198</v>
      </c>
      <c r="H25">
        <f t="shared" si="6"/>
        <v>-167.01553955365216</v>
      </c>
      <c r="I25">
        <f t="shared" si="6"/>
        <v>-24.467930743908937</v>
      </c>
      <c r="J25">
        <f t="shared" si="6"/>
        <v>-11.24153657848295</v>
      </c>
      <c r="K25">
        <f t="shared" si="6"/>
        <v>-12.340577802740974</v>
      </c>
      <c r="L25">
        <f t="shared" si="6"/>
        <v>-276.59654117968751</v>
      </c>
      <c r="M25">
        <f t="shared" si="6"/>
        <v>-230.36637739076855</v>
      </c>
      <c r="N25">
        <f t="shared" si="6"/>
        <v>-296.06015722712959</v>
      </c>
      <c r="O25">
        <f t="shared" si="6"/>
        <v>-1208.1349684890754</v>
      </c>
      <c r="P25">
        <f t="shared" si="6"/>
        <v>-24.191188010546067</v>
      </c>
      <c r="Q25">
        <f t="shared" si="6"/>
        <v>-5261.4868627898468</v>
      </c>
      <c r="R25">
        <f t="shared" si="6"/>
        <v>0</v>
      </c>
      <c r="S25">
        <f t="shared" si="6"/>
        <v>-516.67023265683815</v>
      </c>
      <c r="T25">
        <f t="shared" si="6"/>
        <v>-539.28138575584478</v>
      </c>
    </row>
    <row r="26" spans="1:20" x14ac:dyDescent="0.25">
      <c r="A26" t="s">
        <v>75</v>
      </c>
      <c r="B26">
        <f t="shared" ref="B26:T26" si="7">B$9</f>
        <v>0</v>
      </c>
      <c r="C26">
        <f t="shared" si="7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7"/>
        <v>0</v>
      </c>
      <c r="I26">
        <f t="shared" si="7"/>
        <v>0</v>
      </c>
      <c r="J26">
        <f t="shared" si="7"/>
        <v>0</v>
      </c>
      <c r="K26">
        <f t="shared" si="7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0</v>
      </c>
      <c r="P26">
        <f t="shared" si="7"/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</row>
    <row r="27" spans="1:20" x14ac:dyDescent="0.25">
      <c r="A27" t="s">
        <v>76</v>
      </c>
      <c r="B27">
        <f t="shared" ref="B27:T27" si="8">B$10</f>
        <v>2.5456829500189137E-2</v>
      </c>
      <c r="C27">
        <f t="shared" si="8"/>
        <v>9.4321776193931825E-3</v>
      </c>
      <c r="D27">
        <f t="shared" si="8"/>
        <v>2.0121190193540031</v>
      </c>
      <c r="E27">
        <f t="shared" si="8"/>
        <v>1.6969908547285353</v>
      </c>
      <c r="F27">
        <f t="shared" si="8"/>
        <v>0.69073276751127011</v>
      </c>
      <c r="G27">
        <f t="shared" si="8"/>
        <v>6.3625854232116916</v>
      </c>
      <c r="H27">
        <f t="shared" si="8"/>
        <v>1.3112403934264607</v>
      </c>
      <c r="I27">
        <f t="shared" si="8"/>
        <v>10.785992997572475</v>
      </c>
      <c r="J27">
        <f t="shared" si="8"/>
        <v>4.3452907714828823</v>
      </c>
      <c r="K27">
        <f t="shared" si="8"/>
        <v>0.24677845119227981</v>
      </c>
      <c r="L27">
        <f t="shared" si="8"/>
        <v>8.4461834737237265</v>
      </c>
      <c r="M27">
        <f t="shared" si="8"/>
        <v>16.476712838608464</v>
      </c>
      <c r="N27">
        <f t="shared" si="8"/>
        <v>0.11035925098784691</v>
      </c>
      <c r="O27">
        <f t="shared" si="8"/>
        <v>1.1005358613590521</v>
      </c>
      <c r="P27">
        <f t="shared" si="8"/>
        <v>0</v>
      </c>
      <c r="Q27">
        <f t="shared" si="8"/>
        <v>34.026690399240621</v>
      </c>
      <c r="R27">
        <f t="shared" si="8"/>
        <v>0</v>
      </c>
      <c r="S27">
        <f t="shared" si="8"/>
        <v>4.5473720133129518</v>
      </c>
      <c r="T27">
        <f t="shared" si="8"/>
        <v>-1.8806148448358748E-2</v>
      </c>
    </row>
    <row r="28" spans="1:20" x14ac:dyDescent="0.25">
      <c r="A28" t="s">
        <v>77</v>
      </c>
      <c r="B28">
        <f t="shared" ref="B28:T28" si="9">B$11</f>
        <v>0</v>
      </c>
      <c r="C28">
        <f t="shared" si="9"/>
        <v>0</v>
      </c>
      <c r="D28">
        <f t="shared" si="9"/>
        <v>0</v>
      </c>
      <c r="E28">
        <f t="shared" si="9"/>
        <v>0</v>
      </c>
      <c r="F28">
        <f t="shared" si="9"/>
        <v>0</v>
      </c>
      <c r="G28">
        <f t="shared" si="9"/>
        <v>0</v>
      </c>
      <c r="H28">
        <f t="shared" si="9"/>
        <v>0</v>
      </c>
      <c r="I28">
        <f t="shared" si="9"/>
        <v>0</v>
      </c>
      <c r="J28">
        <f t="shared" si="9"/>
        <v>0</v>
      </c>
      <c r="K28">
        <f t="shared" si="9"/>
        <v>0</v>
      </c>
      <c r="L28">
        <f t="shared" si="9"/>
        <v>0</v>
      </c>
      <c r="M28">
        <f t="shared" si="9"/>
        <v>0</v>
      </c>
      <c r="N28">
        <f t="shared" si="9"/>
        <v>0</v>
      </c>
      <c r="O28">
        <f t="shared" si="9"/>
        <v>0</v>
      </c>
      <c r="P28">
        <f t="shared" si="9"/>
        <v>0</v>
      </c>
      <c r="Q28">
        <f t="shared" si="9"/>
        <v>0</v>
      </c>
      <c r="R28">
        <f t="shared" si="9"/>
        <v>0</v>
      </c>
      <c r="S28">
        <f t="shared" si="9"/>
        <v>0</v>
      </c>
      <c r="T28">
        <f t="shared" si="9"/>
        <v>0</v>
      </c>
    </row>
    <row r="29" spans="1:20" x14ac:dyDescent="0.25">
      <c r="A29" t="s">
        <v>78</v>
      </c>
      <c r="B29">
        <f t="shared" ref="B29:T29" si="10">B$12</f>
        <v>0</v>
      </c>
      <c r="C29">
        <f t="shared" si="10"/>
        <v>0</v>
      </c>
      <c r="D29">
        <f t="shared" si="10"/>
        <v>0</v>
      </c>
      <c r="E29">
        <f t="shared" si="10"/>
        <v>0</v>
      </c>
      <c r="F29">
        <f t="shared" si="10"/>
        <v>0</v>
      </c>
      <c r="G29">
        <f t="shared" si="10"/>
        <v>0</v>
      </c>
      <c r="H29">
        <f t="shared" si="10"/>
        <v>0</v>
      </c>
      <c r="I29">
        <f t="shared" si="10"/>
        <v>0</v>
      </c>
      <c r="J29">
        <f t="shared" si="10"/>
        <v>0</v>
      </c>
      <c r="K29">
        <f t="shared" si="10"/>
        <v>0</v>
      </c>
      <c r="L29">
        <f t="shared" si="10"/>
        <v>0</v>
      </c>
      <c r="M29">
        <f t="shared" si="10"/>
        <v>0</v>
      </c>
      <c r="N29">
        <f t="shared" si="10"/>
        <v>0</v>
      </c>
      <c r="O29">
        <f t="shared" si="10"/>
        <v>0</v>
      </c>
      <c r="P29">
        <f t="shared" si="10"/>
        <v>0</v>
      </c>
      <c r="Q29">
        <f t="shared" si="10"/>
        <v>0</v>
      </c>
      <c r="R29">
        <f t="shared" si="10"/>
        <v>0</v>
      </c>
      <c r="S29">
        <f t="shared" si="10"/>
        <v>0</v>
      </c>
      <c r="T29">
        <f t="shared" si="10"/>
        <v>0</v>
      </c>
    </row>
    <row r="30" spans="1:20" x14ac:dyDescent="0.25">
      <c r="A30" t="s">
        <v>79</v>
      </c>
      <c r="B30">
        <f t="shared" ref="B30:T30" si="11">B$13</f>
        <v>0</v>
      </c>
      <c r="C30">
        <f t="shared" si="11"/>
        <v>0</v>
      </c>
      <c r="D30">
        <f t="shared" si="11"/>
        <v>0</v>
      </c>
      <c r="E30">
        <f t="shared" si="11"/>
        <v>0</v>
      </c>
      <c r="F30">
        <f t="shared" si="11"/>
        <v>0</v>
      </c>
      <c r="G30">
        <f t="shared" si="11"/>
        <v>0</v>
      </c>
      <c r="H30">
        <f t="shared" si="11"/>
        <v>0</v>
      </c>
      <c r="I30">
        <f t="shared" si="11"/>
        <v>0</v>
      </c>
      <c r="J30">
        <f t="shared" si="11"/>
        <v>0</v>
      </c>
      <c r="K30">
        <f t="shared" si="11"/>
        <v>0</v>
      </c>
      <c r="L30">
        <f t="shared" si="11"/>
        <v>0</v>
      </c>
      <c r="M30">
        <f t="shared" si="11"/>
        <v>0</v>
      </c>
      <c r="N30">
        <f t="shared" si="11"/>
        <v>0</v>
      </c>
      <c r="O30">
        <f t="shared" si="11"/>
        <v>0</v>
      </c>
      <c r="P30">
        <f t="shared" si="11"/>
        <v>0</v>
      </c>
      <c r="Q30">
        <f t="shared" si="11"/>
        <v>0</v>
      </c>
      <c r="R30">
        <f t="shared" si="11"/>
        <v>0</v>
      </c>
      <c r="S30">
        <f t="shared" si="11"/>
        <v>0</v>
      </c>
      <c r="T30">
        <f t="shared" si="11"/>
        <v>0</v>
      </c>
    </row>
    <row r="31" spans="1:20" x14ac:dyDescent="0.25">
      <c r="A31" t="s">
        <v>80</v>
      </c>
      <c r="B31">
        <f t="shared" ref="B31:T31" si="12">B$14</f>
        <v>0</v>
      </c>
      <c r="C31">
        <f t="shared" si="12"/>
        <v>0</v>
      </c>
      <c r="D31">
        <f t="shared" si="12"/>
        <v>0</v>
      </c>
      <c r="E31">
        <f t="shared" si="12"/>
        <v>0</v>
      </c>
      <c r="F31">
        <f t="shared" si="12"/>
        <v>0</v>
      </c>
      <c r="G31">
        <f t="shared" si="12"/>
        <v>0</v>
      </c>
      <c r="H31">
        <f t="shared" si="12"/>
        <v>0</v>
      </c>
      <c r="I31">
        <f t="shared" si="12"/>
        <v>0</v>
      </c>
      <c r="J31">
        <f t="shared" si="12"/>
        <v>0</v>
      </c>
      <c r="K31">
        <f t="shared" si="12"/>
        <v>0</v>
      </c>
      <c r="L31">
        <f t="shared" si="12"/>
        <v>0</v>
      </c>
      <c r="M31">
        <f t="shared" si="12"/>
        <v>0</v>
      </c>
      <c r="N31">
        <f t="shared" si="12"/>
        <v>0</v>
      </c>
      <c r="O31">
        <f t="shared" si="12"/>
        <v>0</v>
      </c>
      <c r="P31">
        <f t="shared" si="12"/>
        <v>0</v>
      </c>
      <c r="Q31">
        <f t="shared" si="12"/>
        <v>0</v>
      </c>
      <c r="R31">
        <f t="shared" si="12"/>
        <v>0</v>
      </c>
      <c r="S31">
        <f t="shared" si="12"/>
        <v>0</v>
      </c>
      <c r="T31">
        <f t="shared" si="12"/>
        <v>0</v>
      </c>
    </row>
    <row r="33" spans="1:20" x14ac:dyDescent="0.25">
      <c r="A33" s="3" t="s">
        <v>138</v>
      </c>
      <c r="B33">
        <f t="shared" ref="B33:T33" si="13">SUM(B20:B31)</f>
        <v>1.7329887525008303E-14</v>
      </c>
      <c r="C33">
        <f t="shared" si="13"/>
        <v>-1.1796119636642288E-16</v>
      </c>
      <c r="D33">
        <f t="shared" si="13"/>
        <v>-2.8421709430404007E-14</v>
      </c>
      <c r="E33">
        <f t="shared" si="13"/>
        <v>-4.6629367034256575E-15</v>
      </c>
      <c r="F33">
        <f t="shared" si="13"/>
        <v>-2.2315482794965646E-14</v>
      </c>
      <c r="G33">
        <f t="shared" si="13"/>
        <v>-6.2172489379008766E-15</v>
      </c>
      <c r="H33">
        <f t="shared" si="13"/>
        <v>-2.6867397195928788E-14</v>
      </c>
      <c r="I33">
        <f t="shared" si="13"/>
        <v>-5.3290705182007514E-15</v>
      </c>
      <c r="J33">
        <f t="shared" si="13"/>
        <v>0</v>
      </c>
      <c r="K33">
        <f t="shared" si="13"/>
        <v>7.7715611723760958E-16</v>
      </c>
      <c r="L33">
        <f t="shared" si="13"/>
        <v>-2.3092638912203256E-14</v>
      </c>
      <c r="M33">
        <f t="shared" si="13"/>
        <v>-1.4210854715202004E-14</v>
      </c>
      <c r="N33">
        <f t="shared" si="13"/>
        <v>-2.2565282975506307E-14</v>
      </c>
      <c r="O33">
        <f t="shared" si="13"/>
        <v>3.3306690738754696E-15</v>
      </c>
      <c r="P33">
        <f t="shared" si="13"/>
        <v>0</v>
      </c>
      <c r="Q33">
        <f t="shared" si="13"/>
        <v>4.2632564145606011E-14</v>
      </c>
      <c r="R33">
        <f t="shared" si="13"/>
        <v>0</v>
      </c>
      <c r="S33">
        <f t="shared" si="13"/>
        <v>0</v>
      </c>
      <c r="T33">
        <f t="shared" si="13"/>
        <v>-2.4577562207639403E-14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3"/>
  <sheetViews>
    <sheetView workbookViewId="0"/>
  </sheetViews>
  <sheetFormatPr defaultColWidth="11.42578125" defaultRowHeight="15" x14ac:dyDescent="0.25"/>
  <cols>
    <col min="1" max="1" width="44.7109375" customWidth="1"/>
    <col min="2" max="24" width="16.7109375" customWidth="1"/>
  </cols>
  <sheetData>
    <row r="1" spans="1:20" ht="15.75" x14ac:dyDescent="0.25">
      <c r="A1" s="1" t="s">
        <v>139</v>
      </c>
    </row>
    <row r="2" spans="1:20" ht="90" x14ac:dyDescent="0.25">
      <c r="A2" s="2" t="s">
        <v>131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92</v>
      </c>
      <c r="O2" s="2" t="s">
        <v>93</v>
      </c>
      <c r="P2" s="2" t="s">
        <v>95</v>
      </c>
      <c r="Q2" s="2" t="s">
        <v>96</v>
      </c>
      <c r="R2" s="2" t="s">
        <v>97</v>
      </c>
      <c r="S2" s="2" t="s">
        <v>98</v>
      </c>
      <c r="T2" s="2" t="s">
        <v>99</v>
      </c>
    </row>
    <row r="3" spans="1:20" x14ac:dyDescent="0.25">
      <c r="A3" t="s">
        <v>69</v>
      </c>
      <c r="B3">
        <f>'05_ALFA'!$B$18*'01_Recursos'!$T$2</f>
        <v>4.1062248844537921</v>
      </c>
      <c r="C3">
        <f>'05_ALFA'!$C$18*'01_Recursos'!$T$2</f>
        <v>1.4277752110166393E-4</v>
      </c>
      <c r="D3">
        <f>'05_ALFA'!$D$18*'01_Recursos'!$T$2</f>
        <v>19.421779136805441</v>
      </c>
      <c r="E3">
        <f>'05_ALFA'!$E$18*'01_Recursos'!$T$2</f>
        <v>3.2435364514481315E-3</v>
      </c>
      <c r="F3">
        <f>'05_ALFA'!$F$18*'01_Recursos'!$T$2</f>
        <v>0.12137134585601643</v>
      </c>
      <c r="G3">
        <f>'05_ALFA'!$G$18*'01_Recursos'!$T$2</f>
        <v>0.78017444439123784</v>
      </c>
      <c r="H3">
        <f>'05_ALFA'!$H$18*'01_Recursos'!$T$2</f>
        <v>0</v>
      </c>
      <c r="I3">
        <f>'05_ALFA'!$I$18*'01_Recursos'!$T$2</f>
        <v>0</v>
      </c>
      <c r="J3">
        <f>'05_ALFA'!$J$18*'01_Recursos'!$T$2</f>
        <v>0</v>
      </c>
      <c r="K3">
        <f>'05_ALFA'!$K$18*'01_Recursos'!$T$2</f>
        <v>0</v>
      </c>
      <c r="L3">
        <f>'05_ALFA'!$L$18*'01_Recursos'!$T$2</f>
        <v>0.82850904814035986</v>
      </c>
      <c r="M3">
        <f>'05_ALFA'!$M$18*'01_Recursos'!$T$2</f>
        <v>0.55123479357815952</v>
      </c>
      <c r="N3">
        <f>'05_ALFA'!$N$18*'01_Recursos'!$T$2</f>
        <v>25.30366436301501</v>
      </c>
      <c r="O3">
        <f>'05_ALFA'!$O$18*'01_Recursos'!$T$2</f>
        <v>15.491549935689349</v>
      </c>
      <c r="P3">
        <f>'05_ALFA'!$P$18*'01_Recursos'!$T$2</f>
        <v>1.4876217085239904E-2</v>
      </c>
      <c r="Q3">
        <f>'05_ALFA'!$Q$18*'01_Recursos'!$T$2</f>
        <v>36.282567080441865</v>
      </c>
      <c r="R3">
        <f>'05_ALFA'!$R$18*'01_Recursos'!$T$2</f>
        <v>0</v>
      </c>
      <c r="S3">
        <f>'05_ALFA'!$S$18*'01_Recursos'!$T$2</f>
        <v>2.0452288558623639</v>
      </c>
      <c r="T3">
        <f>'05_ALFA'!$T$18*'01_Recursos'!$T$2</f>
        <v>10.049433580708621</v>
      </c>
    </row>
    <row r="4" spans="1:20" x14ac:dyDescent="0.25">
      <c r="A4" t="s">
        <v>70</v>
      </c>
      <c r="B4">
        <f>'05_ALFA'!$B$19*'01_Recursos'!$T$3</f>
        <v>1.0899908624655308</v>
      </c>
      <c r="C4">
        <f>'05_ALFA'!$C$19*'01_Recursos'!$T$3</f>
        <v>0.61492012969492627</v>
      </c>
      <c r="D4">
        <f>'05_ALFA'!$D$19*'01_Recursos'!$T$3</f>
        <v>18.467040488887324</v>
      </c>
      <c r="E4">
        <f>'05_ALFA'!$E$19*'01_Recursos'!$T$3</f>
        <v>0.49506464495950514</v>
      </c>
      <c r="F4">
        <f>'05_ALFA'!$F$19*'01_Recursos'!$T$3</f>
        <v>12.529479735620278</v>
      </c>
      <c r="G4">
        <f>'05_ALFA'!$G$19*'01_Recursos'!$T$3</f>
        <v>6.7253294572790737E-2</v>
      </c>
      <c r="H4">
        <f>'05_ALFA'!$H$19*'01_Recursos'!$T$3</f>
        <v>5.6673109776228167E-4</v>
      </c>
      <c r="I4">
        <f>'05_ALFA'!$I$19*'01_Recursos'!$T$3</f>
        <v>0</v>
      </c>
      <c r="J4">
        <f>'05_ALFA'!$J$19*'01_Recursos'!$T$3</f>
        <v>0</v>
      </c>
      <c r="K4">
        <f>'05_ALFA'!$K$19*'01_Recursos'!$T$3</f>
        <v>0.72879253352427154</v>
      </c>
      <c r="L4">
        <f>'05_ALFA'!$L$19*'01_Recursos'!$T$3</f>
        <v>5.0501344115743675E-2</v>
      </c>
      <c r="M4">
        <f>'05_ALFA'!$M$19*'01_Recursos'!$T$3</f>
        <v>0.24902721653166271</v>
      </c>
      <c r="N4">
        <f>'05_ALFA'!$N$19*'01_Recursos'!$T$3</f>
        <v>0.44817445503018544</v>
      </c>
      <c r="O4">
        <f>'05_ALFA'!$O$19*'01_Recursos'!$T$3</f>
        <v>10.826333485233912</v>
      </c>
      <c r="P4">
        <f>'05_ALFA'!$P$19*'01_Recursos'!$T$3</f>
        <v>0</v>
      </c>
      <c r="Q4">
        <f>'05_ALFA'!$Q$19*'01_Recursos'!$T$3</f>
        <v>0</v>
      </c>
      <c r="R4">
        <f>'05_ALFA'!$R$19*'01_Recursos'!$T$3</f>
        <v>0</v>
      </c>
      <c r="S4">
        <f>'05_ALFA'!$S$19*'01_Recursos'!$T$3</f>
        <v>0</v>
      </c>
      <c r="T4">
        <f>'05_ALFA'!$T$19*'01_Recursos'!$T$3</f>
        <v>7.4328550782661162</v>
      </c>
    </row>
    <row r="5" spans="1:20" x14ac:dyDescent="0.25">
      <c r="A5" t="s">
        <v>71</v>
      </c>
      <c r="B5">
        <f>'05_ALFA'!$B$20*'01_Recursos'!$T$4</f>
        <v>20.790808062313204</v>
      </c>
      <c r="C5">
        <f>'05_ALFA'!$C$20*'01_Recursos'!$T$4</f>
        <v>0.53444086714108341</v>
      </c>
      <c r="D5">
        <f>'05_ALFA'!$D$20*'01_Recursos'!$T$4</f>
        <v>32.217763205006761</v>
      </c>
      <c r="E5">
        <f>'05_ALFA'!$E$20*'01_Recursos'!$T$4</f>
        <v>3.7361081981763018</v>
      </c>
      <c r="F5">
        <f>'05_ALFA'!$F$20*'01_Recursos'!$T$4</f>
        <v>18.074284139359097</v>
      </c>
      <c r="G5">
        <f>'05_ALFA'!$G$20*'01_Recursos'!$T$4</f>
        <v>8.249749926015566</v>
      </c>
      <c r="H5">
        <f>'05_ALFA'!$H$20*'01_Recursos'!$T$4</f>
        <v>6.895924356481677</v>
      </c>
      <c r="I5">
        <f>'05_ALFA'!$I$20*'01_Recursos'!$T$4</f>
        <v>0.56715642028887181</v>
      </c>
      <c r="J5">
        <f>'05_ALFA'!$J$20*'01_Recursos'!$T$4</f>
        <v>0.28564396506386158</v>
      </c>
      <c r="K5">
        <f>'05_ALFA'!$K$20*'01_Recursos'!$T$4</f>
        <v>0.47695450330739014</v>
      </c>
      <c r="L5">
        <f>'05_ALFA'!$L$20*'01_Recursos'!$T$4</f>
        <v>10.891170520229418</v>
      </c>
      <c r="M5">
        <f>'05_ALFA'!$M$20*'01_Recursos'!$T$4</f>
        <v>8.6887421078171982</v>
      </c>
      <c r="N5">
        <f>'05_ALFA'!$N$20*'01_Recursos'!$T$4</f>
        <v>4.7772485534627656</v>
      </c>
      <c r="O5">
        <f>'05_ALFA'!$O$20*'01_Recursos'!$T$4</f>
        <v>45.19205163574582</v>
      </c>
      <c r="P5">
        <f>'05_ALFA'!$P$20*'01_Recursos'!$T$4</f>
        <v>1.0027477716887483</v>
      </c>
      <c r="Q5">
        <f>'05_ALFA'!$Q$20*'01_Recursos'!$T$4</f>
        <v>206.7055903519728</v>
      </c>
      <c r="R5">
        <f>'05_ALFA'!$R$20*'01_Recursos'!$T$4</f>
        <v>0</v>
      </c>
      <c r="S5">
        <f>'05_ALFA'!$S$20*'01_Recursos'!$T$4</f>
        <v>20.713172367811172</v>
      </c>
      <c r="T5">
        <f>'05_ALFA'!$T$20*'01_Recursos'!$T$4</f>
        <v>19.200443048118228</v>
      </c>
    </row>
    <row r="6" spans="1:20" x14ac:dyDescent="0.25">
      <c r="A6" t="s">
        <v>72</v>
      </c>
      <c r="B6">
        <f>'05_ALFA'!$B$21*'01_Recursos'!$T$5</f>
        <v>0</v>
      </c>
      <c r="C6">
        <f>'05_ALFA'!$C$21*'01_Recursos'!$T$5</f>
        <v>0</v>
      </c>
      <c r="D6">
        <f>'05_ALFA'!$D$21*'01_Recursos'!$T$5</f>
        <v>0</v>
      </c>
      <c r="E6">
        <f>'05_ALFA'!$E$21*'01_Recursos'!$T$5</f>
        <v>0</v>
      </c>
      <c r="F6">
        <f>'05_ALFA'!$F$21*'01_Recursos'!$T$5</f>
        <v>0</v>
      </c>
      <c r="G6">
        <f>'05_ALFA'!$G$21*'01_Recursos'!$T$5</f>
        <v>0</v>
      </c>
      <c r="H6">
        <f>'05_ALFA'!$H$21*'01_Recursos'!$T$5</f>
        <v>0</v>
      </c>
      <c r="I6">
        <f>'05_ALFA'!$I$21*'01_Recursos'!$T$5</f>
        <v>0</v>
      </c>
      <c r="J6">
        <f>'05_ALFA'!$J$21*'01_Recursos'!$T$5</f>
        <v>0</v>
      </c>
      <c r="K6">
        <f>'05_ALFA'!$K$21*'01_Recursos'!$T$5</f>
        <v>0</v>
      </c>
      <c r="L6">
        <f>'05_ALFA'!$L$21*'01_Recursos'!$T$5</f>
        <v>0</v>
      </c>
      <c r="M6">
        <f>'05_ALFA'!$M$21*'01_Recursos'!$T$5</f>
        <v>0</v>
      </c>
      <c r="N6">
        <f>'05_ALFA'!$N$21*'01_Recursos'!$T$5</f>
        <v>0</v>
      </c>
      <c r="O6">
        <f>'05_ALFA'!$O$21*'01_Recursos'!$T$5</f>
        <v>0</v>
      </c>
      <c r="P6">
        <f>'05_ALFA'!$P$21*'01_Recursos'!$T$5</f>
        <v>0</v>
      </c>
      <c r="Q6">
        <f>'05_ALFA'!$Q$21*'01_Recursos'!$T$5</f>
        <v>0</v>
      </c>
      <c r="R6">
        <f>'05_ALFA'!$R$21*'01_Recursos'!$T$5</f>
        <v>0</v>
      </c>
      <c r="S6">
        <f>'05_ALFA'!$S$21*'01_Recursos'!$T$5</f>
        <v>0</v>
      </c>
      <c r="T6">
        <f>'05_ALFA'!$T$21*'01_Recursos'!$T$5</f>
        <v>0</v>
      </c>
    </row>
    <row r="7" spans="1:20" x14ac:dyDescent="0.25">
      <c r="A7" t="s">
        <v>73</v>
      </c>
      <c r="B7">
        <f>'05_ALFA'!$B$22*'01_Recursos'!$T$6</f>
        <v>0</v>
      </c>
      <c r="C7">
        <f>'05_ALFA'!$C$22*'01_Recursos'!$T$6</f>
        <v>0</v>
      </c>
      <c r="D7">
        <f>'05_ALFA'!$D$22*'01_Recursos'!$T$6</f>
        <v>0</v>
      </c>
      <c r="E7">
        <f>'05_ALFA'!$E$22*'01_Recursos'!$T$6</f>
        <v>0</v>
      </c>
      <c r="F7">
        <f>'05_ALFA'!$F$22*'01_Recursos'!$T$6</f>
        <v>0</v>
      </c>
      <c r="G7">
        <f>'05_ALFA'!$G$22*'01_Recursos'!$T$6</f>
        <v>0</v>
      </c>
      <c r="H7">
        <f>'05_ALFA'!$H$22*'01_Recursos'!$T$6</f>
        <v>0</v>
      </c>
      <c r="I7">
        <f>'05_ALFA'!$I$22*'01_Recursos'!$T$6</f>
        <v>0</v>
      </c>
      <c r="J7">
        <f>'05_ALFA'!$J$22*'01_Recursos'!$T$6</f>
        <v>0</v>
      </c>
      <c r="K7">
        <f>'05_ALFA'!$K$22*'01_Recursos'!$T$6</f>
        <v>0</v>
      </c>
      <c r="L7">
        <f>'05_ALFA'!$L$22*'01_Recursos'!$T$6</f>
        <v>0</v>
      </c>
      <c r="M7">
        <f>'05_ALFA'!$M$22*'01_Recursos'!$T$6</f>
        <v>0</v>
      </c>
      <c r="N7">
        <f>'05_ALFA'!$N$22*'01_Recursos'!$T$6</f>
        <v>0</v>
      </c>
      <c r="O7">
        <f>'05_ALFA'!$O$22*'01_Recursos'!$T$6</f>
        <v>0</v>
      </c>
      <c r="P7">
        <f>'05_ALFA'!$P$22*'01_Recursos'!$T$6</f>
        <v>0</v>
      </c>
      <c r="Q7">
        <f>'05_ALFA'!$Q$22*'01_Recursos'!$T$6</f>
        <v>0</v>
      </c>
      <c r="R7">
        <f>'05_ALFA'!$R$22*'01_Recursos'!$T$6</f>
        <v>0</v>
      </c>
      <c r="S7">
        <f>'05_ALFA'!$S$22*'01_Recursos'!$T$6</f>
        <v>0</v>
      </c>
      <c r="T7">
        <f>'05_ALFA'!$T$22*'01_Recursos'!$T$6</f>
        <v>0</v>
      </c>
    </row>
    <row r="8" spans="1:20" x14ac:dyDescent="0.25">
      <c r="A8" t="s">
        <v>74</v>
      </c>
      <c r="B8">
        <f>'05_ALFA'!$B$23*'01_Recursos'!$T$7</f>
        <v>0</v>
      </c>
      <c r="C8">
        <f>'05_ALFA'!$C$23*'01_Recursos'!$T$7</f>
        <v>0</v>
      </c>
      <c r="D8">
        <f>'05_ALFA'!$D$23*'01_Recursos'!$T$7</f>
        <v>0</v>
      </c>
      <c r="E8">
        <f>'05_ALFA'!$E$23*'01_Recursos'!$T$7</f>
        <v>0</v>
      </c>
      <c r="F8">
        <f>'05_ALFA'!$F$23*'01_Recursos'!$T$7</f>
        <v>0</v>
      </c>
      <c r="G8">
        <f>'05_ALFA'!$G$23*'01_Recursos'!$T$7</f>
        <v>0</v>
      </c>
      <c r="H8">
        <f>'05_ALFA'!$H$23*'01_Recursos'!$T$7</f>
        <v>0</v>
      </c>
      <c r="I8">
        <f>'05_ALFA'!$I$23*'01_Recursos'!$T$7</f>
        <v>0</v>
      </c>
      <c r="J8">
        <f>'05_ALFA'!$J$23*'01_Recursos'!$T$7</f>
        <v>0</v>
      </c>
      <c r="K8">
        <f>'05_ALFA'!$K$23*'01_Recursos'!$T$7</f>
        <v>0</v>
      </c>
      <c r="L8">
        <f>'05_ALFA'!$L$23*'01_Recursos'!$T$7</f>
        <v>0</v>
      </c>
      <c r="M8">
        <f>'05_ALFA'!$M$23*'01_Recursos'!$T$7</f>
        <v>0</v>
      </c>
      <c r="N8">
        <f>'05_ALFA'!$N$23*'01_Recursos'!$T$7</f>
        <v>0</v>
      </c>
      <c r="O8">
        <f>'05_ALFA'!$O$23*'01_Recursos'!$T$7</f>
        <v>0</v>
      </c>
      <c r="P8">
        <f>'05_ALFA'!$P$23*'01_Recursos'!$T$7</f>
        <v>0</v>
      </c>
      <c r="Q8">
        <f>'05_ALFA'!$Q$23*'01_Recursos'!$T$7</f>
        <v>0</v>
      </c>
      <c r="R8">
        <f>'05_ALFA'!$R$23*'01_Recursos'!$T$7</f>
        <v>0</v>
      </c>
      <c r="S8">
        <f>'05_ALFA'!$S$23*'01_Recursos'!$T$7</f>
        <v>0</v>
      </c>
      <c r="T8">
        <f>'05_ALFA'!$T$23*'01_Recursos'!$T$7</f>
        <v>0</v>
      </c>
    </row>
    <row r="9" spans="1:20" x14ac:dyDescent="0.25">
      <c r="A9" t="s">
        <v>75</v>
      </c>
      <c r="B9">
        <f>'05_ALFA'!$B$24*'01_Recursos'!$T$8</f>
        <v>-22.051811264846247</v>
      </c>
      <c r="C9">
        <f>'05_ALFA'!$C$24*'01_Recursos'!$T$8</f>
        <v>-1.2257524292032329</v>
      </c>
      <c r="D9">
        <f>'05_ALFA'!$D$24*'01_Recursos'!$T$8</f>
        <v>-79.70333346898822</v>
      </c>
      <c r="E9">
        <f>'05_ALFA'!$E$24*'01_Recursos'!$T$8</f>
        <v>-4.4183008111840412</v>
      </c>
      <c r="F9">
        <f>'05_ALFA'!$F$24*'01_Recursos'!$T$8</f>
        <v>-6.8851318042129286</v>
      </c>
      <c r="G9">
        <f>'05_ALFA'!$G$24*'01_Recursos'!$T$8</f>
        <v>-93.525877565150594</v>
      </c>
      <c r="H9">
        <f>'05_ALFA'!$H$24*'01_Recursos'!$T$8</f>
        <v>-59.963368860236329</v>
      </c>
      <c r="I9">
        <f>'05_ALFA'!$I$24*'01_Recursos'!$T$8</f>
        <v>-2.1630986620300217</v>
      </c>
      <c r="J9">
        <f>'05_ALFA'!$J$24*'01_Recursos'!$T$8</f>
        <v>-5.4996367475532573</v>
      </c>
      <c r="K9">
        <f>'05_ALFA'!$K$24*'01_Recursos'!$T$8</f>
        <v>-0.37277870671935076</v>
      </c>
      <c r="L9">
        <f>'05_ALFA'!$L$24*'01_Recursos'!$T$8</f>
        <v>-26.178179277582736</v>
      </c>
      <c r="M9">
        <f>'05_ALFA'!$M$24*'01_Recursos'!$T$8</f>
        <v>-40.312229635349432</v>
      </c>
      <c r="N9">
        <f>'05_ALFA'!$N$24*'01_Recursos'!$T$8</f>
        <v>-3.1462782213380911</v>
      </c>
      <c r="O9">
        <f>'05_ALFA'!$O$24*'01_Recursos'!$T$8</f>
        <v>0</v>
      </c>
      <c r="P9">
        <f>'05_ALFA'!$P$24*'01_Recursos'!$T$8</f>
        <v>0</v>
      </c>
      <c r="Q9">
        <f>'05_ALFA'!$Q$24*'01_Recursos'!$T$8</f>
        <v>-231.55422254560548</v>
      </c>
      <c r="R9">
        <f>'05_ALFA'!$R$24*'01_Recursos'!$T$8</f>
        <v>0</v>
      </c>
      <c r="S9">
        <f>'05_ALFA'!$S$24*'01_Recursos'!$T$8</f>
        <v>0</v>
      </c>
      <c r="T9">
        <f>'05_ALFA'!$T$24*'01_Recursos'!$T$8</f>
        <v>0</v>
      </c>
    </row>
    <row r="10" spans="1:20" x14ac:dyDescent="0.25">
      <c r="A10" t="s">
        <v>76</v>
      </c>
      <c r="B10">
        <f>'05_ALFA'!$B$25*'01_Recursos'!$T$9</f>
        <v>0</v>
      </c>
      <c r="C10">
        <f>'05_ALFA'!$C$25*'01_Recursos'!$T$9</f>
        <v>0</v>
      </c>
      <c r="D10">
        <f>'05_ALFA'!$D$25*'01_Recursos'!$T$9</f>
        <v>0</v>
      </c>
      <c r="E10">
        <f>'05_ALFA'!$E$25*'01_Recursos'!$T$9</f>
        <v>0</v>
      </c>
      <c r="F10">
        <f>'05_ALFA'!$F$25*'01_Recursos'!$T$9</f>
        <v>0</v>
      </c>
      <c r="G10">
        <f>'05_ALFA'!$G$25*'01_Recursos'!$T$9</f>
        <v>0</v>
      </c>
      <c r="H10">
        <f>'05_ALFA'!$H$25*'01_Recursos'!$T$9</f>
        <v>0</v>
      </c>
      <c r="I10">
        <f>'05_ALFA'!$I$25*'01_Recursos'!$T$9</f>
        <v>0</v>
      </c>
      <c r="J10">
        <f>'05_ALFA'!$J$25*'01_Recursos'!$T$9</f>
        <v>0</v>
      </c>
      <c r="K10">
        <f>'05_ALFA'!$K$25*'01_Recursos'!$T$9</f>
        <v>0</v>
      </c>
      <c r="L10">
        <f>'05_ALFA'!$L$25*'01_Recursos'!$T$9</f>
        <v>0</v>
      </c>
      <c r="M10">
        <f>'05_ALFA'!$M$25*'01_Recursos'!$T$9</f>
        <v>0</v>
      </c>
      <c r="N10">
        <f>'05_ALFA'!$N$25*'01_Recursos'!$T$9</f>
        <v>0</v>
      </c>
      <c r="O10">
        <f>'05_ALFA'!$O$25*'01_Recursos'!$T$9</f>
        <v>0</v>
      </c>
      <c r="P10">
        <f>'05_ALFA'!$P$25*'01_Recursos'!$T$9</f>
        <v>0</v>
      </c>
      <c r="Q10">
        <f>'05_ALFA'!$Q$25*'01_Recursos'!$T$9</f>
        <v>0</v>
      </c>
      <c r="R10">
        <f>'05_ALFA'!$R$25*'01_Recursos'!$T$9</f>
        <v>0</v>
      </c>
      <c r="S10">
        <f>'05_ALFA'!$S$25*'01_Recursos'!$T$9</f>
        <v>0</v>
      </c>
      <c r="T10">
        <f>'05_ALFA'!$T$25*'01_Recursos'!$T$9</f>
        <v>0</v>
      </c>
    </row>
    <row r="11" spans="1:20" x14ac:dyDescent="0.25">
      <c r="A11" t="s">
        <v>77</v>
      </c>
      <c r="B11">
        <f>'05_ALFA'!$B$26*'01_Recursos'!$T$10</f>
        <v>0</v>
      </c>
      <c r="C11">
        <f>'05_ALFA'!$C$26*'01_Recursos'!$T$10</f>
        <v>0</v>
      </c>
      <c r="D11">
        <f>'05_ALFA'!$D$26*'01_Recursos'!$T$10</f>
        <v>0</v>
      </c>
      <c r="E11">
        <f>'05_ALFA'!$E$26*'01_Recursos'!$T$10</f>
        <v>0</v>
      </c>
      <c r="F11">
        <f>'05_ALFA'!$F$26*'01_Recursos'!$T$10</f>
        <v>0</v>
      </c>
      <c r="G11">
        <f>'05_ALFA'!$G$26*'01_Recursos'!$T$10</f>
        <v>0</v>
      </c>
      <c r="H11">
        <f>'05_ALFA'!$H$26*'01_Recursos'!$T$10</f>
        <v>0</v>
      </c>
      <c r="I11">
        <f>'05_ALFA'!$I$26*'01_Recursos'!$T$10</f>
        <v>0</v>
      </c>
      <c r="J11">
        <f>'05_ALFA'!$J$26*'01_Recursos'!$T$10</f>
        <v>0</v>
      </c>
      <c r="K11">
        <f>'05_ALFA'!$K$26*'01_Recursos'!$T$10</f>
        <v>0</v>
      </c>
      <c r="L11">
        <f>'05_ALFA'!$L$26*'01_Recursos'!$T$10</f>
        <v>0</v>
      </c>
      <c r="M11">
        <f>'05_ALFA'!$M$26*'01_Recursos'!$T$10</f>
        <v>0</v>
      </c>
      <c r="N11">
        <f>'05_ALFA'!$N$26*'01_Recursos'!$T$10</f>
        <v>0</v>
      </c>
      <c r="O11">
        <f>'05_ALFA'!$O$26*'01_Recursos'!$T$10</f>
        <v>0</v>
      </c>
      <c r="P11">
        <f>'05_ALFA'!$P$26*'01_Recursos'!$T$10</f>
        <v>0</v>
      </c>
      <c r="Q11">
        <f>'05_ALFA'!$Q$26*'01_Recursos'!$T$10</f>
        <v>0</v>
      </c>
      <c r="R11">
        <f>'05_ALFA'!$R$26*'01_Recursos'!$T$10</f>
        <v>0</v>
      </c>
      <c r="S11">
        <f>'05_ALFA'!$S$26*'01_Recursos'!$T$10</f>
        <v>0</v>
      </c>
      <c r="T11">
        <f>'05_ALFA'!$T$26*'01_Recursos'!$T$10</f>
        <v>0</v>
      </c>
    </row>
    <row r="12" spans="1:20" x14ac:dyDescent="0.25">
      <c r="A12" t="s">
        <v>78</v>
      </c>
      <c r="B12">
        <f>'05_ALFA'!$B$27*'01_Recursos'!$T$11</f>
        <v>0</v>
      </c>
      <c r="C12">
        <f>'05_ALFA'!$C$27*'01_Recursos'!$T$11</f>
        <v>0</v>
      </c>
      <c r="D12">
        <f>'05_ALFA'!$D$27*'01_Recursos'!$T$11</f>
        <v>0</v>
      </c>
      <c r="E12">
        <f>'05_ALFA'!$E$27*'01_Recursos'!$T$11</f>
        <v>0</v>
      </c>
      <c r="F12">
        <f>'05_ALFA'!$F$27*'01_Recursos'!$T$11</f>
        <v>0</v>
      </c>
      <c r="G12">
        <f>'05_ALFA'!$G$27*'01_Recursos'!$T$11</f>
        <v>0</v>
      </c>
      <c r="H12">
        <f>'05_ALFA'!$H$27*'01_Recursos'!$T$11</f>
        <v>0</v>
      </c>
      <c r="I12">
        <f>'05_ALFA'!$I$27*'01_Recursos'!$T$11</f>
        <v>0</v>
      </c>
      <c r="J12">
        <f>'05_ALFA'!$J$27*'01_Recursos'!$T$11</f>
        <v>0</v>
      </c>
      <c r="K12">
        <f>'05_ALFA'!$K$27*'01_Recursos'!$T$11</f>
        <v>0</v>
      </c>
      <c r="L12">
        <f>'05_ALFA'!$L$27*'01_Recursos'!$T$11</f>
        <v>0</v>
      </c>
      <c r="M12">
        <f>'05_ALFA'!$M$27*'01_Recursos'!$T$11</f>
        <v>0</v>
      </c>
      <c r="N12">
        <f>'05_ALFA'!$N$27*'01_Recursos'!$T$11</f>
        <v>0</v>
      </c>
      <c r="O12">
        <f>'05_ALFA'!$O$27*'01_Recursos'!$T$11</f>
        <v>0</v>
      </c>
      <c r="P12">
        <f>'05_ALFA'!$P$27*'01_Recursos'!$T$11</f>
        <v>0</v>
      </c>
      <c r="Q12">
        <f>'05_ALFA'!$Q$27*'01_Recursos'!$T$11</f>
        <v>0</v>
      </c>
      <c r="R12">
        <f>'05_ALFA'!$R$27*'01_Recursos'!$T$11</f>
        <v>0</v>
      </c>
      <c r="S12">
        <f>'05_ALFA'!$S$27*'01_Recursos'!$T$11</f>
        <v>0</v>
      </c>
      <c r="T12">
        <f>'05_ALFA'!$T$27*'01_Recursos'!$T$11</f>
        <v>0</v>
      </c>
    </row>
    <row r="13" spans="1:20" x14ac:dyDescent="0.25">
      <c r="A13" t="s">
        <v>79</v>
      </c>
      <c r="B13">
        <f>'05_ALFA'!$B$28*'01_Recursos'!$T$12</f>
        <v>0</v>
      </c>
      <c r="C13">
        <f>'05_ALFA'!$C$28*'01_Recursos'!$T$12</f>
        <v>0</v>
      </c>
      <c r="D13">
        <f>'05_ALFA'!$D$28*'01_Recursos'!$T$12</f>
        <v>0</v>
      </c>
      <c r="E13">
        <f>'05_ALFA'!$E$28*'01_Recursos'!$T$12</f>
        <v>0</v>
      </c>
      <c r="F13">
        <f>'05_ALFA'!$F$28*'01_Recursos'!$T$12</f>
        <v>0</v>
      </c>
      <c r="G13">
        <f>'05_ALFA'!$G$28*'01_Recursos'!$T$12</f>
        <v>0</v>
      </c>
      <c r="H13">
        <f>'05_ALFA'!$H$28*'01_Recursos'!$T$12</f>
        <v>0</v>
      </c>
      <c r="I13">
        <f>'05_ALFA'!$I$28*'01_Recursos'!$T$12</f>
        <v>0</v>
      </c>
      <c r="J13">
        <f>'05_ALFA'!$J$28*'01_Recursos'!$T$12</f>
        <v>0</v>
      </c>
      <c r="K13">
        <f>'05_ALFA'!$K$28*'01_Recursos'!$T$12</f>
        <v>0</v>
      </c>
      <c r="L13">
        <f>'05_ALFA'!$L$28*'01_Recursos'!$T$12</f>
        <v>0</v>
      </c>
      <c r="M13">
        <f>'05_ALFA'!$M$28*'01_Recursos'!$T$12</f>
        <v>0</v>
      </c>
      <c r="N13">
        <f>'05_ALFA'!$N$28*'01_Recursos'!$T$12</f>
        <v>0</v>
      </c>
      <c r="O13">
        <f>'05_ALFA'!$O$28*'01_Recursos'!$T$12</f>
        <v>0</v>
      </c>
      <c r="P13">
        <f>'05_ALFA'!$P$28*'01_Recursos'!$T$12</f>
        <v>0</v>
      </c>
      <c r="Q13">
        <f>'05_ALFA'!$Q$28*'01_Recursos'!$T$12</f>
        <v>0</v>
      </c>
      <c r="R13">
        <f>'05_ALFA'!$R$28*'01_Recursos'!$T$12</f>
        <v>0</v>
      </c>
      <c r="S13">
        <f>'05_ALFA'!$S$28*'01_Recursos'!$T$12</f>
        <v>0</v>
      </c>
      <c r="T13">
        <f>'05_ALFA'!$T$28*'01_Recursos'!$T$12</f>
        <v>0</v>
      </c>
    </row>
    <row r="14" spans="1:20" x14ac:dyDescent="0.25">
      <c r="A14" t="s">
        <v>80</v>
      </c>
      <c r="B14">
        <f>'05_ALFA'!$B$29*'01_Recursos'!$T$13</f>
        <v>0</v>
      </c>
      <c r="C14">
        <f>'05_ALFA'!$C$29*'01_Recursos'!$T$13</f>
        <v>0</v>
      </c>
      <c r="D14">
        <f>'05_ALFA'!$D$29*'01_Recursos'!$T$13</f>
        <v>0</v>
      </c>
      <c r="E14">
        <f>'05_ALFA'!$E$29*'01_Recursos'!$T$13</f>
        <v>0</v>
      </c>
      <c r="F14">
        <f>'05_ALFA'!$F$29*'01_Recursos'!$T$13</f>
        <v>0</v>
      </c>
      <c r="G14">
        <f>'05_ALFA'!$G$29*'01_Recursos'!$T$13</f>
        <v>0</v>
      </c>
      <c r="H14">
        <f>'05_ALFA'!$H$29*'01_Recursos'!$T$13</f>
        <v>0</v>
      </c>
      <c r="I14">
        <f>'05_ALFA'!$I$29*'01_Recursos'!$T$13</f>
        <v>0</v>
      </c>
      <c r="J14">
        <f>'05_ALFA'!$J$29*'01_Recursos'!$T$13</f>
        <v>0</v>
      </c>
      <c r="K14">
        <f>'05_ALFA'!$K$29*'01_Recursos'!$T$13</f>
        <v>0</v>
      </c>
      <c r="L14">
        <f>'05_ALFA'!$L$29*'01_Recursos'!$T$13</f>
        <v>0</v>
      </c>
      <c r="M14">
        <f>'05_ALFA'!$M$29*'01_Recursos'!$T$13</f>
        <v>0</v>
      </c>
      <c r="N14">
        <f>'05_ALFA'!$N$29*'01_Recursos'!$T$13</f>
        <v>0</v>
      </c>
      <c r="O14">
        <f>'05_ALFA'!$O$29*'01_Recursos'!$T$13</f>
        <v>0</v>
      </c>
      <c r="P14">
        <f>'05_ALFA'!$P$29*'01_Recursos'!$T$13</f>
        <v>0</v>
      </c>
      <c r="Q14">
        <f>'05_ALFA'!$Q$29*'01_Recursos'!$T$13</f>
        <v>0</v>
      </c>
      <c r="R14">
        <f>'05_ALFA'!$R$29*'01_Recursos'!$T$13</f>
        <v>0</v>
      </c>
      <c r="S14">
        <f>'05_ALFA'!$S$29*'01_Recursos'!$T$13</f>
        <v>0</v>
      </c>
      <c r="T14">
        <f>'05_ALFA'!$T$29*'01_Recursos'!$T$13</f>
        <v>0</v>
      </c>
    </row>
    <row r="16" spans="1:20" x14ac:dyDescent="0.25">
      <c r="A16" s="3" t="s">
        <v>140</v>
      </c>
      <c r="B16">
        <f t="shared" ref="B16:T16" si="0">SUM(B3:B14)-B9</f>
        <v>25.987023809232525</v>
      </c>
      <c r="C16">
        <f t="shared" si="0"/>
        <v>1.1495037743571115</v>
      </c>
      <c r="D16">
        <f t="shared" si="0"/>
        <v>70.106582830699523</v>
      </c>
      <c r="E16">
        <f t="shared" si="0"/>
        <v>4.2344163795872554</v>
      </c>
      <c r="F16">
        <f t="shared" si="0"/>
        <v>30.725135220835391</v>
      </c>
      <c r="G16">
        <f t="shared" si="0"/>
        <v>9.097177664979597</v>
      </c>
      <c r="H16">
        <f t="shared" si="0"/>
        <v>6.8964910875794416</v>
      </c>
      <c r="I16">
        <f t="shared" si="0"/>
        <v>0.56715642028887192</v>
      </c>
      <c r="J16">
        <f t="shared" si="0"/>
        <v>0.28564396506386203</v>
      </c>
      <c r="K16">
        <f t="shared" si="0"/>
        <v>1.2057470368316616</v>
      </c>
      <c r="L16">
        <f t="shared" si="0"/>
        <v>11.770180912485522</v>
      </c>
      <c r="M16">
        <f t="shared" si="0"/>
        <v>9.4890041179270206</v>
      </c>
      <c r="N16">
        <f t="shared" si="0"/>
        <v>30.529087371507959</v>
      </c>
      <c r="O16">
        <f t="shared" si="0"/>
        <v>71.509935056669079</v>
      </c>
      <c r="P16">
        <f t="shared" si="0"/>
        <v>1.0176239887739882</v>
      </c>
      <c r="Q16">
        <f t="shared" si="0"/>
        <v>242.98815743241465</v>
      </c>
      <c r="R16">
        <f t="shared" si="0"/>
        <v>0</v>
      </c>
      <c r="S16">
        <f t="shared" si="0"/>
        <v>22.758401223673538</v>
      </c>
      <c r="T16">
        <f t="shared" si="0"/>
        <v>36.682731707092969</v>
      </c>
    </row>
    <row r="18" spans="1:20" ht="15.75" x14ac:dyDescent="0.25">
      <c r="A18" s="1" t="s">
        <v>141</v>
      </c>
    </row>
    <row r="19" spans="1:20" ht="90" x14ac:dyDescent="0.25">
      <c r="A19" s="2" t="s">
        <v>131</v>
      </c>
      <c r="B19" s="2" t="s">
        <v>69</v>
      </c>
      <c r="C19" s="2" t="s">
        <v>70</v>
      </c>
      <c r="D19" s="2" t="s">
        <v>71</v>
      </c>
      <c r="E19" s="2" t="s">
        <v>72</v>
      </c>
      <c r="F19" s="2" t="s">
        <v>73</v>
      </c>
      <c r="G19" s="2" t="s">
        <v>74</v>
      </c>
      <c r="H19" s="2" t="s">
        <v>75</v>
      </c>
      <c r="I19" s="2" t="s">
        <v>76</v>
      </c>
      <c r="J19" s="2" t="s">
        <v>77</v>
      </c>
      <c r="K19" s="2" t="s">
        <v>78</v>
      </c>
      <c r="L19" s="2" t="s">
        <v>79</v>
      </c>
      <c r="M19" s="2" t="s">
        <v>80</v>
      </c>
      <c r="N19" s="2" t="s">
        <v>92</v>
      </c>
      <c r="O19" s="2" t="s">
        <v>93</v>
      </c>
      <c r="P19" s="2" t="s">
        <v>95</v>
      </c>
      <c r="Q19" s="2" t="s">
        <v>96</v>
      </c>
      <c r="R19" s="2" t="s">
        <v>97</v>
      </c>
      <c r="S19" s="2" t="s">
        <v>98</v>
      </c>
      <c r="T19" s="2" t="s">
        <v>99</v>
      </c>
    </row>
    <row r="20" spans="1:20" x14ac:dyDescent="0.25">
      <c r="A20" t="s">
        <v>69</v>
      </c>
      <c r="B20">
        <f t="shared" ref="B20:T20" si="1">B$3</f>
        <v>4.1062248844537921</v>
      </c>
      <c r="C20">
        <f t="shared" si="1"/>
        <v>1.4277752110166393E-4</v>
      </c>
      <c r="D20">
        <f t="shared" si="1"/>
        <v>19.421779136805441</v>
      </c>
      <c r="E20">
        <f t="shared" si="1"/>
        <v>3.2435364514481315E-3</v>
      </c>
      <c r="F20">
        <f t="shared" si="1"/>
        <v>0.12137134585601643</v>
      </c>
      <c r="G20">
        <f t="shared" si="1"/>
        <v>0.78017444439123784</v>
      </c>
      <c r="H20">
        <f t="shared" si="1"/>
        <v>0</v>
      </c>
      <c r="I20">
        <f t="shared" si="1"/>
        <v>0</v>
      </c>
      <c r="J20">
        <f t="shared" si="1"/>
        <v>0</v>
      </c>
      <c r="K20">
        <f t="shared" si="1"/>
        <v>0</v>
      </c>
      <c r="L20">
        <f t="shared" si="1"/>
        <v>0.82850904814035986</v>
      </c>
      <c r="M20">
        <f t="shared" si="1"/>
        <v>0.55123479357815952</v>
      </c>
      <c r="N20">
        <f t="shared" si="1"/>
        <v>25.30366436301501</v>
      </c>
      <c r="O20">
        <f t="shared" si="1"/>
        <v>15.491549935689349</v>
      </c>
      <c r="P20">
        <f t="shared" si="1"/>
        <v>1.4876217085239904E-2</v>
      </c>
      <c r="Q20">
        <f t="shared" si="1"/>
        <v>36.282567080441865</v>
      </c>
      <c r="R20">
        <f t="shared" si="1"/>
        <v>0</v>
      </c>
      <c r="S20">
        <f t="shared" si="1"/>
        <v>2.0452288558623639</v>
      </c>
      <c r="T20">
        <f t="shared" si="1"/>
        <v>10.049433580708621</v>
      </c>
    </row>
    <row r="21" spans="1:20" x14ac:dyDescent="0.25">
      <c r="A21" t="s">
        <v>70</v>
      </c>
      <c r="B21">
        <f t="shared" ref="B21:T21" si="2">B$4</f>
        <v>1.0899908624655308</v>
      </c>
      <c r="C21">
        <f t="shared" si="2"/>
        <v>0.61492012969492627</v>
      </c>
      <c r="D21">
        <f t="shared" si="2"/>
        <v>18.467040488887324</v>
      </c>
      <c r="E21">
        <f t="shared" si="2"/>
        <v>0.49506464495950514</v>
      </c>
      <c r="F21">
        <f t="shared" si="2"/>
        <v>12.529479735620278</v>
      </c>
      <c r="G21">
        <f t="shared" si="2"/>
        <v>6.7253294572790737E-2</v>
      </c>
      <c r="H21">
        <f t="shared" si="2"/>
        <v>5.6673109776228167E-4</v>
      </c>
      <c r="I21">
        <f t="shared" si="2"/>
        <v>0</v>
      </c>
      <c r="J21">
        <f t="shared" si="2"/>
        <v>0</v>
      </c>
      <c r="K21">
        <f t="shared" si="2"/>
        <v>0.72879253352427154</v>
      </c>
      <c r="L21">
        <f t="shared" si="2"/>
        <v>5.0501344115743675E-2</v>
      </c>
      <c r="M21">
        <f t="shared" si="2"/>
        <v>0.24902721653166271</v>
      </c>
      <c r="N21">
        <f t="shared" si="2"/>
        <v>0.44817445503018544</v>
      </c>
      <c r="O21">
        <f t="shared" si="2"/>
        <v>10.826333485233912</v>
      </c>
      <c r="P21">
        <f t="shared" si="2"/>
        <v>0</v>
      </c>
      <c r="Q21">
        <f t="shared" si="2"/>
        <v>0</v>
      </c>
      <c r="R21">
        <f t="shared" si="2"/>
        <v>0</v>
      </c>
      <c r="S21">
        <f t="shared" si="2"/>
        <v>0</v>
      </c>
      <c r="T21">
        <f t="shared" si="2"/>
        <v>7.4328550782661162</v>
      </c>
    </row>
    <row r="22" spans="1:20" x14ac:dyDescent="0.25">
      <c r="A22" t="s">
        <v>71</v>
      </c>
      <c r="B22">
        <f t="shared" ref="B22:T22" si="3">B$5</f>
        <v>20.790808062313204</v>
      </c>
      <c r="C22">
        <f t="shared" si="3"/>
        <v>0.53444086714108341</v>
      </c>
      <c r="D22">
        <f t="shared" si="3"/>
        <v>32.217763205006761</v>
      </c>
      <c r="E22">
        <f t="shared" si="3"/>
        <v>3.7361081981763018</v>
      </c>
      <c r="F22">
        <f t="shared" si="3"/>
        <v>18.074284139359097</v>
      </c>
      <c r="G22">
        <f t="shared" si="3"/>
        <v>8.249749926015566</v>
      </c>
      <c r="H22">
        <f t="shared" si="3"/>
        <v>6.895924356481677</v>
      </c>
      <c r="I22">
        <f t="shared" si="3"/>
        <v>0.56715642028887181</v>
      </c>
      <c r="J22">
        <f t="shared" si="3"/>
        <v>0.28564396506386158</v>
      </c>
      <c r="K22">
        <f t="shared" si="3"/>
        <v>0.47695450330739014</v>
      </c>
      <c r="L22">
        <f t="shared" si="3"/>
        <v>10.891170520229418</v>
      </c>
      <c r="M22">
        <f t="shared" si="3"/>
        <v>8.6887421078171982</v>
      </c>
      <c r="N22">
        <f t="shared" si="3"/>
        <v>4.7772485534627656</v>
      </c>
      <c r="O22">
        <f t="shared" si="3"/>
        <v>45.19205163574582</v>
      </c>
      <c r="P22">
        <f t="shared" si="3"/>
        <v>1.0027477716887483</v>
      </c>
      <c r="Q22">
        <f t="shared" si="3"/>
        <v>206.7055903519728</v>
      </c>
      <c r="R22">
        <f t="shared" si="3"/>
        <v>0</v>
      </c>
      <c r="S22">
        <f t="shared" si="3"/>
        <v>20.713172367811172</v>
      </c>
      <c r="T22">
        <f t="shared" si="3"/>
        <v>19.200443048118228</v>
      </c>
    </row>
    <row r="23" spans="1:20" x14ac:dyDescent="0.25">
      <c r="A23" t="s">
        <v>72</v>
      </c>
      <c r="B23">
        <f t="shared" ref="B23:T23" si="4">B$6</f>
        <v>0</v>
      </c>
      <c r="C23">
        <f t="shared" si="4"/>
        <v>0</v>
      </c>
      <c r="D23">
        <f t="shared" si="4"/>
        <v>0</v>
      </c>
      <c r="E23">
        <f t="shared" si="4"/>
        <v>0</v>
      </c>
      <c r="F23">
        <f t="shared" si="4"/>
        <v>0</v>
      </c>
      <c r="G23">
        <f t="shared" si="4"/>
        <v>0</v>
      </c>
      <c r="H23">
        <f t="shared" si="4"/>
        <v>0</v>
      </c>
      <c r="I23">
        <f t="shared" si="4"/>
        <v>0</v>
      </c>
      <c r="J23">
        <f t="shared" si="4"/>
        <v>0</v>
      </c>
      <c r="K23">
        <f t="shared" si="4"/>
        <v>0</v>
      </c>
      <c r="L23">
        <f t="shared" si="4"/>
        <v>0</v>
      </c>
      <c r="M23">
        <f t="shared" si="4"/>
        <v>0</v>
      </c>
      <c r="N23">
        <f t="shared" si="4"/>
        <v>0</v>
      </c>
      <c r="O23">
        <f t="shared" si="4"/>
        <v>0</v>
      </c>
      <c r="P23">
        <f t="shared" si="4"/>
        <v>0</v>
      </c>
      <c r="Q23">
        <f t="shared" si="4"/>
        <v>0</v>
      </c>
      <c r="R23">
        <f t="shared" si="4"/>
        <v>0</v>
      </c>
      <c r="S23">
        <f t="shared" si="4"/>
        <v>0</v>
      </c>
      <c r="T23">
        <f t="shared" si="4"/>
        <v>0</v>
      </c>
    </row>
    <row r="24" spans="1:20" x14ac:dyDescent="0.25">
      <c r="A24" t="s">
        <v>73</v>
      </c>
      <c r="B24">
        <f t="shared" ref="B24:T24" si="5">B$7</f>
        <v>0</v>
      </c>
      <c r="C24">
        <f t="shared" si="5"/>
        <v>0</v>
      </c>
      <c r="D24">
        <f t="shared" si="5"/>
        <v>0</v>
      </c>
      <c r="E24">
        <f t="shared" si="5"/>
        <v>0</v>
      </c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0</v>
      </c>
      <c r="J24">
        <f t="shared" si="5"/>
        <v>0</v>
      </c>
      <c r="K24">
        <f t="shared" si="5"/>
        <v>0</v>
      </c>
      <c r="L24">
        <f t="shared" si="5"/>
        <v>0</v>
      </c>
      <c r="M24">
        <f t="shared" si="5"/>
        <v>0</v>
      </c>
      <c r="N24">
        <f t="shared" si="5"/>
        <v>0</v>
      </c>
      <c r="O24">
        <f t="shared" si="5"/>
        <v>0</v>
      </c>
      <c r="P24">
        <f t="shared" si="5"/>
        <v>0</v>
      </c>
      <c r="Q24">
        <f t="shared" si="5"/>
        <v>0</v>
      </c>
      <c r="R24">
        <f t="shared" si="5"/>
        <v>0</v>
      </c>
      <c r="S24">
        <f t="shared" si="5"/>
        <v>0</v>
      </c>
      <c r="T24">
        <f t="shared" si="5"/>
        <v>0</v>
      </c>
    </row>
    <row r="25" spans="1:20" x14ac:dyDescent="0.25">
      <c r="A25" t="s">
        <v>74</v>
      </c>
      <c r="B25">
        <f t="shared" ref="B25:T25" si="6">B$8</f>
        <v>0</v>
      </c>
      <c r="C25">
        <f t="shared" si="6"/>
        <v>0</v>
      </c>
      <c r="D25">
        <f t="shared" si="6"/>
        <v>0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  <c r="K25">
        <f t="shared" si="6"/>
        <v>0</v>
      </c>
      <c r="L25">
        <f t="shared" si="6"/>
        <v>0</v>
      </c>
      <c r="M25">
        <f t="shared" si="6"/>
        <v>0</v>
      </c>
      <c r="N25">
        <f t="shared" si="6"/>
        <v>0</v>
      </c>
      <c r="O25">
        <f t="shared" si="6"/>
        <v>0</v>
      </c>
      <c r="P25">
        <f t="shared" si="6"/>
        <v>0</v>
      </c>
      <c r="Q25">
        <f t="shared" si="6"/>
        <v>0</v>
      </c>
      <c r="R25">
        <f t="shared" si="6"/>
        <v>0</v>
      </c>
      <c r="S25">
        <f t="shared" si="6"/>
        <v>0</v>
      </c>
      <c r="T25">
        <f t="shared" si="6"/>
        <v>0</v>
      </c>
    </row>
    <row r="26" spans="1:20" x14ac:dyDescent="0.25">
      <c r="A26" t="s">
        <v>75</v>
      </c>
      <c r="B26">
        <f t="shared" ref="B26:T26" si="7">-B$16</f>
        <v>-25.987023809232525</v>
      </c>
      <c r="C26">
        <f t="shared" si="7"/>
        <v>-1.1495037743571115</v>
      </c>
      <c r="D26">
        <f t="shared" si="7"/>
        <v>-70.106582830699523</v>
      </c>
      <c r="E26">
        <f t="shared" si="7"/>
        <v>-4.2344163795872554</v>
      </c>
      <c r="F26">
        <f t="shared" si="7"/>
        <v>-30.725135220835391</v>
      </c>
      <c r="G26">
        <f t="shared" si="7"/>
        <v>-9.097177664979597</v>
      </c>
      <c r="H26">
        <f t="shared" si="7"/>
        <v>-6.8964910875794416</v>
      </c>
      <c r="I26">
        <f t="shared" si="7"/>
        <v>-0.56715642028887192</v>
      </c>
      <c r="J26">
        <f t="shared" si="7"/>
        <v>-0.28564396506386203</v>
      </c>
      <c r="K26">
        <f t="shared" si="7"/>
        <v>-1.2057470368316616</v>
      </c>
      <c r="L26">
        <f t="shared" si="7"/>
        <v>-11.770180912485522</v>
      </c>
      <c r="M26">
        <f t="shared" si="7"/>
        <v>-9.4890041179270206</v>
      </c>
      <c r="N26">
        <f t="shared" si="7"/>
        <v>-30.529087371507959</v>
      </c>
      <c r="O26">
        <f t="shared" si="7"/>
        <v>-71.509935056669079</v>
      </c>
      <c r="P26">
        <f t="shared" si="7"/>
        <v>-1.0176239887739882</v>
      </c>
      <c r="Q26">
        <f t="shared" si="7"/>
        <v>-242.98815743241465</v>
      </c>
      <c r="R26">
        <f t="shared" si="7"/>
        <v>0</v>
      </c>
      <c r="S26">
        <f t="shared" si="7"/>
        <v>-22.758401223673538</v>
      </c>
      <c r="T26">
        <f t="shared" si="7"/>
        <v>-36.682731707092969</v>
      </c>
    </row>
    <row r="27" spans="1:20" x14ac:dyDescent="0.25">
      <c r="A27" t="s">
        <v>76</v>
      </c>
      <c r="B27">
        <f t="shared" ref="B27:T27" si="8">B$10</f>
        <v>0</v>
      </c>
      <c r="C27">
        <f t="shared" si="8"/>
        <v>0</v>
      </c>
      <c r="D27">
        <f t="shared" si="8"/>
        <v>0</v>
      </c>
      <c r="E27">
        <f t="shared" si="8"/>
        <v>0</v>
      </c>
      <c r="F27">
        <f t="shared" si="8"/>
        <v>0</v>
      </c>
      <c r="G27">
        <f t="shared" si="8"/>
        <v>0</v>
      </c>
      <c r="H27">
        <f t="shared" si="8"/>
        <v>0</v>
      </c>
      <c r="I27">
        <f t="shared" si="8"/>
        <v>0</v>
      </c>
      <c r="J27">
        <f t="shared" si="8"/>
        <v>0</v>
      </c>
      <c r="K27">
        <f t="shared" si="8"/>
        <v>0</v>
      </c>
      <c r="L27">
        <f t="shared" si="8"/>
        <v>0</v>
      </c>
      <c r="M27">
        <f t="shared" si="8"/>
        <v>0</v>
      </c>
      <c r="N27">
        <f t="shared" si="8"/>
        <v>0</v>
      </c>
      <c r="O27">
        <f t="shared" si="8"/>
        <v>0</v>
      </c>
      <c r="P27">
        <f t="shared" si="8"/>
        <v>0</v>
      </c>
      <c r="Q27">
        <f t="shared" si="8"/>
        <v>0</v>
      </c>
      <c r="R27">
        <f t="shared" si="8"/>
        <v>0</v>
      </c>
      <c r="S27">
        <f t="shared" si="8"/>
        <v>0</v>
      </c>
      <c r="T27">
        <f t="shared" si="8"/>
        <v>0</v>
      </c>
    </row>
    <row r="28" spans="1:20" x14ac:dyDescent="0.25">
      <c r="A28" t="s">
        <v>77</v>
      </c>
      <c r="B28">
        <f t="shared" ref="B28:T28" si="9">B$11</f>
        <v>0</v>
      </c>
      <c r="C28">
        <f t="shared" si="9"/>
        <v>0</v>
      </c>
      <c r="D28">
        <f t="shared" si="9"/>
        <v>0</v>
      </c>
      <c r="E28">
        <f t="shared" si="9"/>
        <v>0</v>
      </c>
      <c r="F28">
        <f t="shared" si="9"/>
        <v>0</v>
      </c>
      <c r="G28">
        <f t="shared" si="9"/>
        <v>0</v>
      </c>
      <c r="H28">
        <f t="shared" si="9"/>
        <v>0</v>
      </c>
      <c r="I28">
        <f t="shared" si="9"/>
        <v>0</v>
      </c>
      <c r="J28">
        <f t="shared" si="9"/>
        <v>0</v>
      </c>
      <c r="K28">
        <f t="shared" si="9"/>
        <v>0</v>
      </c>
      <c r="L28">
        <f t="shared" si="9"/>
        <v>0</v>
      </c>
      <c r="M28">
        <f t="shared" si="9"/>
        <v>0</v>
      </c>
      <c r="N28">
        <f t="shared" si="9"/>
        <v>0</v>
      </c>
      <c r="O28">
        <f t="shared" si="9"/>
        <v>0</v>
      </c>
      <c r="P28">
        <f t="shared" si="9"/>
        <v>0</v>
      </c>
      <c r="Q28">
        <f t="shared" si="9"/>
        <v>0</v>
      </c>
      <c r="R28">
        <f t="shared" si="9"/>
        <v>0</v>
      </c>
      <c r="S28">
        <f t="shared" si="9"/>
        <v>0</v>
      </c>
      <c r="T28">
        <f t="shared" si="9"/>
        <v>0</v>
      </c>
    </row>
    <row r="29" spans="1:20" x14ac:dyDescent="0.25">
      <c r="A29" t="s">
        <v>78</v>
      </c>
      <c r="B29">
        <f t="shared" ref="B29:T29" si="10">B$12</f>
        <v>0</v>
      </c>
      <c r="C29">
        <f t="shared" si="10"/>
        <v>0</v>
      </c>
      <c r="D29">
        <f t="shared" si="10"/>
        <v>0</v>
      </c>
      <c r="E29">
        <f t="shared" si="10"/>
        <v>0</v>
      </c>
      <c r="F29">
        <f t="shared" si="10"/>
        <v>0</v>
      </c>
      <c r="G29">
        <f t="shared" si="10"/>
        <v>0</v>
      </c>
      <c r="H29">
        <f t="shared" si="10"/>
        <v>0</v>
      </c>
      <c r="I29">
        <f t="shared" si="10"/>
        <v>0</v>
      </c>
      <c r="J29">
        <f t="shared" si="10"/>
        <v>0</v>
      </c>
      <c r="K29">
        <f t="shared" si="10"/>
        <v>0</v>
      </c>
      <c r="L29">
        <f t="shared" si="10"/>
        <v>0</v>
      </c>
      <c r="M29">
        <f t="shared" si="10"/>
        <v>0</v>
      </c>
      <c r="N29">
        <f t="shared" si="10"/>
        <v>0</v>
      </c>
      <c r="O29">
        <f t="shared" si="10"/>
        <v>0</v>
      </c>
      <c r="P29">
        <f t="shared" si="10"/>
        <v>0</v>
      </c>
      <c r="Q29">
        <f t="shared" si="10"/>
        <v>0</v>
      </c>
      <c r="R29">
        <f t="shared" si="10"/>
        <v>0</v>
      </c>
      <c r="S29">
        <f t="shared" si="10"/>
        <v>0</v>
      </c>
      <c r="T29">
        <f t="shared" si="10"/>
        <v>0</v>
      </c>
    </row>
    <row r="30" spans="1:20" x14ac:dyDescent="0.25">
      <c r="A30" t="s">
        <v>79</v>
      </c>
      <c r="B30">
        <f t="shared" ref="B30:T30" si="11">B$13</f>
        <v>0</v>
      </c>
      <c r="C30">
        <f t="shared" si="11"/>
        <v>0</v>
      </c>
      <c r="D30">
        <f t="shared" si="11"/>
        <v>0</v>
      </c>
      <c r="E30">
        <f t="shared" si="11"/>
        <v>0</v>
      </c>
      <c r="F30">
        <f t="shared" si="11"/>
        <v>0</v>
      </c>
      <c r="G30">
        <f t="shared" si="11"/>
        <v>0</v>
      </c>
      <c r="H30">
        <f t="shared" si="11"/>
        <v>0</v>
      </c>
      <c r="I30">
        <f t="shared" si="11"/>
        <v>0</v>
      </c>
      <c r="J30">
        <f t="shared" si="11"/>
        <v>0</v>
      </c>
      <c r="K30">
        <f t="shared" si="11"/>
        <v>0</v>
      </c>
      <c r="L30">
        <f t="shared" si="11"/>
        <v>0</v>
      </c>
      <c r="M30">
        <f t="shared" si="11"/>
        <v>0</v>
      </c>
      <c r="N30">
        <f t="shared" si="11"/>
        <v>0</v>
      </c>
      <c r="O30">
        <f t="shared" si="11"/>
        <v>0</v>
      </c>
      <c r="P30">
        <f t="shared" si="11"/>
        <v>0</v>
      </c>
      <c r="Q30">
        <f t="shared" si="11"/>
        <v>0</v>
      </c>
      <c r="R30">
        <f t="shared" si="11"/>
        <v>0</v>
      </c>
      <c r="S30">
        <f t="shared" si="11"/>
        <v>0</v>
      </c>
      <c r="T30">
        <f t="shared" si="11"/>
        <v>0</v>
      </c>
    </row>
    <row r="31" spans="1:20" x14ac:dyDescent="0.25">
      <c r="A31" t="s">
        <v>80</v>
      </c>
      <c r="B31">
        <f t="shared" ref="B31:T31" si="12">B$14</f>
        <v>0</v>
      </c>
      <c r="C31">
        <f t="shared" si="12"/>
        <v>0</v>
      </c>
      <c r="D31">
        <f t="shared" si="12"/>
        <v>0</v>
      </c>
      <c r="E31">
        <f t="shared" si="12"/>
        <v>0</v>
      </c>
      <c r="F31">
        <f t="shared" si="12"/>
        <v>0</v>
      </c>
      <c r="G31">
        <f t="shared" si="12"/>
        <v>0</v>
      </c>
      <c r="H31">
        <f t="shared" si="12"/>
        <v>0</v>
      </c>
      <c r="I31">
        <f t="shared" si="12"/>
        <v>0</v>
      </c>
      <c r="J31">
        <f t="shared" si="12"/>
        <v>0</v>
      </c>
      <c r="K31">
        <f t="shared" si="12"/>
        <v>0</v>
      </c>
      <c r="L31">
        <f t="shared" si="12"/>
        <v>0</v>
      </c>
      <c r="M31">
        <f t="shared" si="12"/>
        <v>0</v>
      </c>
      <c r="N31">
        <f t="shared" si="12"/>
        <v>0</v>
      </c>
      <c r="O31">
        <f t="shared" si="12"/>
        <v>0</v>
      </c>
      <c r="P31">
        <f t="shared" si="12"/>
        <v>0</v>
      </c>
      <c r="Q31">
        <f t="shared" si="12"/>
        <v>0</v>
      </c>
      <c r="R31">
        <f t="shared" si="12"/>
        <v>0</v>
      </c>
      <c r="S31">
        <f t="shared" si="12"/>
        <v>0</v>
      </c>
      <c r="T31">
        <f t="shared" si="12"/>
        <v>0</v>
      </c>
    </row>
    <row r="33" spans="1:20" x14ac:dyDescent="0.25">
      <c r="A33" s="3" t="s">
        <v>138</v>
      </c>
      <c r="B33">
        <f t="shared" ref="B33:T33" si="13">SUM(B20:B31)</f>
        <v>0</v>
      </c>
      <c r="C33">
        <f t="shared" si="13"/>
        <v>0</v>
      </c>
      <c r="D33">
        <f t="shared" si="13"/>
        <v>0</v>
      </c>
      <c r="E33">
        <f t="shared" si="13"/>
        <v>0</v>
      </c>
      <c r="F33">
        <f t="shared" si="13"/>
        <v>0</v>
      </c>
      <c r="G33">
        <f t="shared" si="13"/>
        <v>-1.7763568394002505E-15</v>
      </c>
      <c r="H33">
        <f t="shared" si="13"/>
        <v>-2.6645352591003757E-15</v>
      </c>
      <c r="I33">
        <f t="shared" si="13"/>
        <v>-1.1102230246251565E-16</v>
      </c>
      <c r="J33">
        <f t="shared" si="13"/>
        <v>-4.4408920985006262E-16</v>
      </c>
      <c r="K33">
        <f t="shared" si="13"/>
        <v>0</v>
      </c>
      <c r="L33">
        <f t="shared" si="13"/>
        <v>0</v>
      </c>
      <c r="M33">
        <f t="shared" si="13"/>
        <v>0</v>
      </c>
      <c r="N33">
        <f t="shared" si="13"/>
        <v>0</v>
      </c>
      <c r="O33">
        <f t="shared" si="13"/>
        <v>0</v>
      </c>
      <c r="P33">
        <f t="shared" si="13"/>
        <v>0</v>
      </c>
      <c r="Q33">
        <f t="shared" si="13"/>
        <v>0</v>
      </c>
      <c r="R33">
        <f t="shared" si="13"/>
        <v>0</v>
      </c>
      <c r="S33">
        <f t="shared" si="13"/>
        <v>0</v>
      </c>
      <c r="T33">
        <f t="shared" si="13"/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4"/>
  <sheetViews>
    <sheetView tabSelected="1" workbookViewId="0"/>
  </sheetViews>
  <sheetFormatPr defaultColWidth="11.42578125" defaultRowHeight="15" x14ac:dyDescent="0.25"/>
  <cols>
    <col min="1" max="1" width="44.7109375" customWidth="1"/>
    <col min="2" max="24" width="16.7109375" customWidth="1"/>
  </cols>
  <sheetData>
    <row r="1" spans="1:21" ht="15.75" x14ac:dyDescent="0.25">
      <c r="A1" s="1" t="s">
        <v>142</v>
      </c>
    </row>
    <row r="2" spans="1:21" ht="90" x14ac:dyDescent="0.25">
      <c r="A2" s="2" t="s">
        <v>131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92</v>
      </c>
      <c r="O2" s="2" t="s">
        <v>93</v>
      </c>
      <c r="P2" s="2" t="s">
        <v>95</v>
      </c>
      <c r="Q2" s="2" t="s">
        <v>96</v>
      </c>
      <c r="R2" s="2" t="s">
        <v>97</v>
      </c>
      <c r="S2" s="2" t="s">
        <v>98</v>
      </c>
      <c r="T2" s="2" t="s">
        <v>99</v>
      </c>
      <c r="U2" s="2" t="s">
        <v>132</v>
      </c>
    </row>
    <row r="3" spans="1:21" x14ac:dyDescent="0.25">
      <c r="A3" t="s">
        <v>69</v>
      </c>
      <c r="B3">
        <f>'02_Usos'!$B$2</f>
        <v>336.52786208779497</v>
      </c>
      <c r="C3">
        <f>'02_Usos'!$C$2</f>
        <v>1.1701408296572E-2</v>
      </c>
      <c r="D3">
        <f>'02_Usos'!$D$2</f>
        <v>1591.7223227582399</v>
      </c>
      <c r="E3">
        <f>'02_Usos'!$E$2</f>
        <v>0.26582576900311899</v>
      </c>
      <c r="F3">
        <f>'02_Usos'!$F$2</f>
        <v>9.9470537267168506</v>
      </c>
      <c r="G3">
        <f>'02_Usos'!$G$2</f>
        <v>63.9396149052954</v>
      </c>
      <c r="H3">
        <f>'02_Usos'!$H$2</f>
        <v>0</v>
      </c>
      <c r="I3">
        <f>'02_Usos'!$I$2</f>
        <v>0</v>
      </c>
      <c r="J3">
        <f>'02_Usos'!$J$2</f>
        <v>0</v>
      </c>
      <c r="K3">
        <f>'02_Usos'!$K$2</f>
        <v>0</v>
      </c>
      <c r="L3">
        <f>'02_Usos'!$L$2</f>
        <v>67.900903271681699</v>
      </c>
      <c r="M3">
        <f>'02_Usos'!$M$2</f>
        <v>45.176743069672597</v>
      </c>
      <c r="N3">
        <f>0</f>
        <v>0</v>
      </c>
      <c r="O3">
        <f>'02_Usos'!$P$2</f>
        <v>1269.61828126404</v>
      </c>
      <c r="P3">
        <f>'02_Usos'!$R$2</f>
        <v>1.2191883475752801</v>
      </c>
      <c r="Q3">
        <f>'02_Usos'!$S$2</f>
        <v>2973.5572391238602</v>
      </c>
      <c r="R3">
        <f>'02_Usos'!$T$2</f>
        <v>0</v>
      </c>
      <c r="S3">
        <f>'02_Usos'!$U$2</f>
        <v>167.61782749635799</v>
      </c>
      <c r="T3">
        <f>'02_Usos'!$V$2</f>
        <v>823.60671742873296</v>
      </c>
      <c r="U3">
        <f t="shared" ref="U3:U14" si="0">SUM(B3:T3)</f>
        <v>7351.1112806572664</v>
      </c>
    </row>
    <row r="4" spans="1:21" x14ac:dyDescent="0.25">
      <c r="A4" t="s">
        <v>70</v>
      </c>
      <c r="B4">
        <f>'02_Usos'!$B$3</f>
        <v>8.2404913965596105</v>
      </c>
      <c r="C4">
        <f>'02_Usos'!$C$3</f>
        <v>4.6488867134724297</v>
      </c>
      <c r="D4">
        <f>'02_Usos'!$D$3</f>
        <v>139.613544946948</v>
      </c>
      <c r="E4">
        <f>'02_Usos'!$E$3</f>
        <v>3.7427616028833</v>
      </c>
      <c r="F4">
        <f>'02_Usos'!$F$3</f>
        <v>94.724711481709306</v>
      </c>
      <c r="G4">
        <f>'02_Usos'!$G$3</f>
        <v>0.50844480848562801</v>
      </c>
      <c r="H4">
        <f>'02_Usos'!$H$3</f>
        <v>4.2845705373246203E-3</v>
      </c>
      <c r="I4">
        <f>'02_Usos'!$I$3</f>
        <v>0</v>
      </c>
      <c r="J4">
        <f>'02_Usos'!$J$3</f>
        <v>0</v>
      </c>
      <c r="K4">
        <f>'02_Usos'!$K$3</f>
        <v>5.5097788515392798</v>
      </c>
      <c r="L4">
        <f>'02_Usos'!$L$3</f>
        <v>0.38179759668732299</v>
      </c>
      <c r="M4">
        <f>'02_Usos'!$M$3</f>
        <v>1.88268242056318</v>
      </c>
      <c r="N4">
        <f>0</f>
        <v>0</v>
      </c>
      <c r="O4">
        <f>'02_Usos'!$P$3</f>
        <v>81.848675079307398</v>
      </c>
      <c r="P4">
        <f>'02_Usos'!$R$3</f>
        <v>0</v>
      </c>
      <c r="Q4">
        <f>'02_Usos'!$S$3</f>
        <v>0</v>
      </c>
      <c r="R4">
        <f>'02_Usos'!$T$3</f>
        <v>0</v>
      </c>
      <c r="S4">
        <f>'02_Usos'!$U$3</f>
        <v>0</v>
      </c>
      <c r="T4">
        <f>'02_Usos'!$V$3</f>
        <v>56.1934787102523</v>
      </c>
      <c r="U4">
        <f t="shared" si="0"/>
        <v>397.299538178945</v>
      </c>
    </row>
    <row r="5" spans="1:21" x14ac:dyDescent="0.25">
      <c r="A5" t="s">
        <v>71</v>
      </c>
      <c r="B5">
        <f>'02_Usos'!$B$4</f>
        <v>2378.5486898015802</v>
      </c>
      <c r="C5">
        <f>'02_Usos'!$C$4</f>
        <v>61.142098012972099</v>
      </c>
      <c r="D5">
        <f>'02_Usos'!$D$4</f>
        <v>3685.83646339912</v>
      </c>
      <c r="E5">
        <f>'02_Usos'!$E$4</f>
        <v>427.42519834221702</v>
      </c>
      <c r="F5">
        <f>'02_Usos'!$F$4</f>
        <v>2067.76786789262</v>
      </c>
      <c r="G5">
        <f>'02_Usos'!$G$4</f>
        <v>943.80323356858503</v>
      </c>
      <c r="H5">
        <f>'02_Usos'!$H$4</f>
        <v>788.92036297579898</v>
      </c>
      <c r="I5">
        <f>'02_Usos'!$I$4</f>
        <v>64.884883567173802</v>
      </c>
      <c r="J5">
        <f>'02_Usos'!$J$4</f>
        <v>32.678772119681803</v>
      </c>
      <c r="K5">
        <f>'02_Usos'!$K$4</f>
        <v>54.5654361069858</v>
      </c>
      <c r="L5">
        <f>'02_Usos'!$L$4</f>
        <v>1245.99194478904</v>
      </c>
      <c r="M5">
        <f>'02_Usos'!$M$4</f>
        <v>994.02563356996495</v>
      </c>
      <c r="N5">
        <f>0</f>
        <v>0</v>
      </c>
      <c r="O5">
        <f>'02_Usos'!$P$4</f>
        <v>5170.1451374799999</v>
      </c>
      <c r="P5">
        <f>'02_Usos'!$R$4</f>
        <v>114.718215444213</v>
      </c>
      <c r="Q5">
        <f>'02_Usos'!$S$4</f>
        <v>23647.9173696746</v>
      </c>
      <c r="R5">
        <f>'02_Usos'!$T$4</f>
        <v>0</v>
      </c>
      <c r="S5">
        <f>'02_Usos'!$U$4</f>
        <v>2369.6668666956102</v>
      </c>
      <c r="T5">
        <f>'02_Usos'!$V$4</f>
        <v>2196.60479375472</v>
      </c>
      <c r="U5">
        <f t="shared" si="0"/>
        <v>46244.642967194886</v>
      </c>
    </row>
    <row r="6" spans="1:21" x14ac:dyDescent="0.25">
      <c r="A6" t="s">
        <v>72</v>
      </c>
      <c r="B6">
        <f>'02_Usos'!$B$5</f>
        <v>154.809366555791</v>
      </c>
      <c r="C6">
        <f>'02_Usos'!$C$5</f>
        <v>7.90090801956591</v>
      </c>
      <c r="D6">
        <f>'02_Usos'!$D$5</f>
        <v>136.96591306237801</v>
      </c>
      <c r="E6">
        <f>'02_Usos'!$E$5</f>
        <v>1480.31032106818</v>
      </c>
      <c r="F6">
        <f>'02_Usos'!$F$5</f>
        <v>11.009585069440501</v>
      </c>
      <c r="G6">
        <f>'02_Usos'!$G$5</f>
        <v>255.58089371484701</v>
      </c>
      <c r="H6">
        <f>'02_Usos'!$H$5</f>
        <v>26.111448652576598</v>
      </c>
      <c r="I6">
        <f>'02_Usos'!$I$5</f>
        <v>21.7408198111474</v>
      </c>
      <c r="J6">
        <f>'02_Usos'!$J$5</f>
        <v>12.939322968687</v>
      </c>
      <c r="K6">
        <f>'02_Usos'!$K$5</f>
        <v>7.1191336024782901</v>
      </c>
      <c r="L6">
        <f>'02_Usos'!$L$5</f>
        <v>216.795454781638</v>
      </c>
      <c r="M6">
        <f>'02_Usos'!$M$5</f>
        <v>382.08586875998299</v>
      </c>
      <c r="N6">
        <f>0</f>
        <v>0</v>
      </c>
      <c r="O6">
        <f>'02_Usos'!$P$5</f>
        <v>613.90951930323195</v>
      </c>
      <c r="P6">
        <f>'02_Usos'!$R$5</f>
        <v>0</v>
      </c>
      <c r="Q6">
        <f>'02_Usos'!$S$5</f>
        <v>1221.0253289923301</v>
      </c>
      <c r="R6">
        <f>'02_Usos'!$T$5</f>
        <v>0</v>
      </c>
      <c r="S6">
        <f>'02_Usos'!$U$5</f>
        <v>0</v>
      </c>
      <c r="T6">
        <f>'02_Usos'!$V$5</f>
        <v>1.6716120161960799</v>
      </c>
      <c r="U6">
        <f t="shared" si="0"/>
        <v>4549.9754963784708</v>
      </c>
    </row>
    <row r="7" spans="1:21" x14ac:dyDescent="0.25">
      <c r="A7" t="s">
        <v>73</v>
      </c>
      <c r="B7">
        <f>'02_Usos'!$B$6</f>
        <v>3.8224894700507401</v>
      </c>
      <c r="C7">
        <f>'02_Usos'!$C$6</f>
        <v>1.37870858359182E-2</v>
      </c>
      <c r="D7">
        <f>'02_Usos'!$D$6</f>
        <v>2.2642450320687599</v>
      </c>
      <c r="E7">
        <f>'02_Usos'!$E$6</f>
        <v>79.022219936396397</v>
      </c>
      <c r="F7">
        <f>'02_Usos'!$F$6</f>
        <v>705.14022689724504</v>
      </c>
      <c r="G7">
        <f>'02_Usos'!$G$6</f>
        <v>11.1773027672429</v>
      </c>
      <c r="H7">
        <f>'02_Usos'!$H$6</f>
        <v>8.35128226357015</v>
      </c>
      <c r="I7">
        <f>'02_Usos'!$I$6</f>
        <v>33.955800793082702</v>
      </c>
      <c r="J7">
        <f>'02_Usos'!$J$6</f>
        <v>4.90871633923574</v>
      </c>
      <c r="K7">
        <f>'02_Usos'!$K$6</f>
        <v>10.536413625734101</v>
      </c>
      <c r="L7">
        <f>'02_Usos'!$L$6</f>
        <v>24.8511412899181</v>
      </c>
      <c r="M7">
        <f>'02_Usos'!$M$6</f>
        <v>362.99378963273199</v>
      </c>
      <c r="N7">
        <f>0</f>
        <v>0</v>
      </c>
      <c r="O7">
        <f>'02_Usos'!$P$6</f>
        <v>0</v>
      </c>
      <c r="P7">
        <f>'02_Usos'!$R$6</f>
        <v>0</v>
      </c>
      <c r="Q7">
        <f>'02_Usos'!$S$6</f>
        <v>0</v>
      </c>
      <c r="R7">
        <f>'02_Usos'!$T$6</f>
        <v>0</v>
      </c>
      <c r="S7">
        <f>'02_Usos'!$U$6</f>
        <v>4868.1849257329804</v>
      </c>
      <c r="T7">
        <f>'02_Usos'!$V$6</f>
        <v>0</v>
      </c>
      <c r="U7">
        <f t="shared" si="0"/>
        <v>6115.222340866093</v>
      </c>
    </row>
    <row r="8" spans="1:21" x14ac:dyDescent="0.25">
      <c r="A8" t="s">
        <v>74</v>
      </c>
      <c r="B8">
        <f>'02_Usos'!$B$7</f>
        <v>4.0645390550857901</v>
      </c>
      <c r="C8">
        <f>'02_Usos'!$C$7</f>
        <v>0.19920343047224801</v>
      </c>
      <c r="D8">
        <f>'02_Usos'!$D$7</f>
        <v>78.202411974315197</v>
      </c>
      <c r="E8">
        <f>'02_Usos'!$E$7</f>
        <v>12.2186878263197</v>
      </c>
      <c r="F8">
        <f>'02_Usos'!$F$7</f>
        <v>5.2675481991244197</v>
      </c>
      <c r="G8">
        <f>'02_Usos'!$G$7</f>
        <v>70.4502463916713</v>
      </c>
      <c r="H8">
        <f>'02_Usos'!$H$7</f>
        <v>46.636503993822302</v>
      </c>
      <c r="I8">
        <f>'02_Usos'!$I$7</f>
        <v>23.572887513037099</v>
      </c>
      <c r="J8">
        <f>'02_Usos'!$J$7</f>
        <v>0.47196287636393303</v>
      </c>
      <c r="K8">
        <f>'02_Usos'!$K$7</f>
        <v>0.125092000758671</v>
      </c>
      <c r="L8">
        <f>'02_Usos'!$L$7</f>
        <v>12.265165493107601</v>
      </c>
      <c r="M8">
        <f>'02_Usos'!$M$7</f>
        <v>53.081126598793901</v>
      </c>
      <c r="N8">
        <f>0</f>
        <v>0</v>
      </c>
      <c r="O8">
        <f>'02_Usos'!$P$7</f>
        <v>0</v>
      </c>
      <c r="P8">
        <f>'02_Usos'!$R$7</f>
        <v>0</v>
      </c>
      <c r="Q8">
        <f>'02_Usos'!$S$7</f>
        <v>483.65278185428701</v>
      </c>
      <c r="R8">
        <f>'02_Usos'!$T$7</f>
        <v>0</v>
      </c>
      <c r="S8">
        <f>'02_Usos'!$U$7</f>
        <v>0</v>
      </c>
      <c r="T8">
        <f>'02_Usos'!$V$7</f>
        <v>0</v>
      </c>
      <c r="U8">
        <f t="shared" si="0"/>
        <v>790.20815720715916</v>
      </c>
    </row>
    <row r="9" spans="1:21" x14ac:dyDescent="0.25">
      <c r="A9" t="s">
        <v>75</v>
      </c>
      <c r="B9">
        <f>'02_Usos'!$B$8</f>
        <v>112.141697401282</v>
      </c>
      <c r="C9">
        <f>'02_Usos'!$C$8</f>
        <v>6.2334089637218604</v>
      </c>
      <c r="D9">
        <f>'02_Usos'!$D$8</f>
        <v>405.32122266080302</v>
      </c>
      <c r="E9">
        <f>'02_Usos'!$E$8</f>
        <v>22.468710014106598</v>
      </c>
      <c r="F9">
        <f>'02_Usos'!$F$8</f>
        <v>35.013467060950397</v>
      </c>
      <c r="G9">
        <f>'02_Usos'!$G$8</f>
        <v>475.61402259142699</v>
      </c>
      <c r="H9">
        <f>'02_Usos'!$H$8</f>
        <v>304.93612906100498</v>
      </c>
      <c r="I9">
        <f>'02_Usos'!$I$8</f>
        <v>11.000164689110401</v>
      </c>
      <c r="J9">
        <f>'02_Usos'!$J$8</f>
        <v>27.967707167177601</v>
      </c>
      <c r="K9">
        <f>'02_Usos'!$K$8</f>
        <v>1.89571896949818</v>
      </c>
      <c r="L9">
        <f>'02_Usos'!$L$8</f>
        <v>133.12582008821499</v>
      </c>
      <c r="M9">
        <f>'02_Usos'!$M$8</f>
        <v>205.00274571753499</v>
      </c>
      <c r="N9">
        <f>0</f>
        <v>0</v>
      </c>
      <c r="O9">
        <f>'02_Usos'!$P$8</f>
        <v>0</v>
      </c>
      <c r="P9">
        <f>'02_Usos'!$R$8</f>
        <v>0</v>
      </c>
      <c r="Q9">
        <f>'02_Usos'!$S$8</f>
        <v>1177.53971521121</v>
      </c>
      <c r="R9">
        <f>'02_Usos'!$T$8</f>
        <v>0</v>
      </c>
      <c r="S9">
        <f>'02_Usos'!$U$8</f>
        <v>0</v>
      </c>
      <c r="T9">
        <f>'02_Usos'!$V$8</f>
        <v>0</v>
      </c>
      <c r="U9">
        <f t="shared" si="0"/>
        <v>2918.260529596042</v>
      </c>
    </row>
    <row r="10" spans="1:21" x14ac:dyDescent="0.25">
      <c r="A10" t="s">
        <v>76</v>
      </c>
      <c r="B10">
        <f>'02_Usos'!$B$9</f>
        <v>0.61710296671491105</v>
      </c>
      <c r="C10">
        <f>'02_Usos'!$C$9</f>
        <v>0.22864688595515301</v>
      </c>
      <c r="D10">
        <f>'02_Usos'!$D$9</f>
        <v>48.776090369683601</v>
      </c>
      <c r="E10">
        <f>'02_Usos'!$E$9</f>
        <v>41.137019475786303</v>
      </c>
      <c r="F10">
        <f>'02_Usos'!$F$9</f>
        <v>16.744160541878902</v>
      </c>
      <c r="G10">
        <f>'02_Usos'!$G$9</f>
        <v>154.23642369179601</v>
      </c>
      <c r="H10">
        <f>'02_Usos'!$H$9</f>
        <v>31.785982494555501</v>
      </c>
      <c r="I10">
        <f>'02_Usos'!$I$9</f>
        <v>261.46493528264301</v>
      </c>
      <c r="J10">
        <f>'02_Usos'!$J$9</f>
        <v>105.334870012037</v>
      </c>
      <c r="K10">
        <f>'02_Usos'!$K$9</f>
        <v>5.9821948507348601</v>
      </c>
      <c r="L10">
        <f>'02_Usos'!$L$9</f>
        <v>204.745248382743</v>
      </c>
      <c r="M10">
        <f>'02_Usos'!$M$9</f>
        <v>399.41456080928702</v>
      </c>
      <c r="N10">
        <f>0</f>
        <v>0</v>
      </c>
      <c r="O10">
        <f>'02_Usos'!$P$9</f>
        <v>26.678261132863199</v>
      </c>
      <c r="P10">
        <f>'02_Usos'!$R$9</f>
        <v>0</v>
      </c>
      <c r="Q10">
        <f>'02_Usos'!$S$9</f>
        <v>824.84629881757905</v>
      </c>
      <c r="R10">
        <f>'02_Usos'!$T$9</f>
        <v>0</v>
      </c>
      <c r="S10">
        <f>'02_Usos'!$U$9</f>
        <v>110.23355285272</v>
      </c>
      <c r="T10">
        <f>'02_Usos'!$V$9</f>
        <v>-0.45588277204264499</v>
      </c>
      <c r="U10">
        <f t="shared" si="0"/>
        <v>2231.7694657949351</v>
      </c>
    </row>
    <row r="11" spans="1:21" x14ac:dyDescent="0.25">
      <c r="A11" t="s">
        <v>77</v>
      </c>
      <c r="B11">
        <f>'02_Usos'!$B$10</f>
        <v>130.45602910459701</v>
      </c>
      <c r="C11">
        <f>'02_Usos'!$C$10</f>
        <v>7.3087876835066297</v>
      </c>
      <c r="D11">
        <f>'02_Usos'!$D$10</f>
        <v>183.00486253247701</v>
      </c>
      <c r="E11">
        <f>'02_Usos'!$E$10</f>
        <v>130.82104580946</v>
      </c>
      <c r="F11">
        <f>'02_Usos'!$F$10</f>
        <v>96.771951022856697</v>
      </c>
      <c r="G11">
        <f>'02_Usos'!$G$10</f>
        <v>246.23947708153301</v>
      </c>
      <c r="H11">
        <f>'02_Usos'!$H$10</f>
        <v>71.125788900151406</v>
      </c>
      <c r="I11">
        <f>'02_Usos'!$I$10</f>
        <v>66.780516006326394</v>
      </c>
      <c r="J11">
        <f>'02_Usos'!$J$10</f>
        <v>366.11924793560598</v>
      </c>
      <c r="K11">
        <f>'02_Usos'!$K$10</f>
        <v>153.22607182788801</v>
      </c>
      <c r="L11">
        <f>'02_Usos'!$L$10</f>
        <v>148.85236381338899</v>
      </c>
      <c r="M11">
        <f>'02_Usos'!$M$10</f>
        <v>670.49075713163495</v>
      </c>
      <c r="N11">
        <f>0</f>
        <v>0</v>
      </c>
      <c r="O11">
        <f>'02_Usos'!$P$10</f>
        <v>0</v>
      </c>
      <c r="P11">
        <f>'02_Usos'!$R$10</f>
        <v>7.7394704998347601</v>
      </c>
      <c r="Q11">
        <f>'02_Usos'!$S$10</f>
        <v>3803.7185631505899</v>
      </c>
      <c r="R11">
        <f>'02_Usos'!$T$10</f>
        <v>0</v>
      </c>
      <c r="S11">
        <f>'02_Usos'!$U$10</f>
        <v>0</v>
      </c>
      <c r="T11">
        <f>'02_Usos'!$V$10</f>
        <v>0</v>
      </c>
      <c r="U11">
        <f t="shared" si="0"/>
        <v>6082.6549324998505</v>
      </c>
    </row>
    <row r="12" spans="1:21" x14ac:dyDescent="0.25">
      <c r="A12" t="s">
        <v>78</v>
      </c>
      <c r="B12">
        <f>'02_Usos'!$B$11</f>
        <v>0.235033528815382</v>
      </c>
      <c r="C12">
        <f>'02_Usos'!$C$11</f>
        <v>0.45746480887650998</v>
      </c>
      <c r="D12">
        <f>'02_Usos'!$D$11</f>
        <v>21.746612009043002</v>
      </c>
      <c r="E12">
        <f>'02_Usos'!$E$11</f>
        <v>23.239619233035601</v>
      </c>
      <c r="F12">
        <f>'02_Usos'!$F$11</f>
        <v>13.5603236994473</v>
      </c>
      <c r="G12">
        <f>'02_Usos'!$G$11</f>
        <v>369.934055889511</v>
      </c>
      <c r="H12">
        <f>'02_Usos'!$H$11</f>
        <v>45.167672550011503</v>
      </c>
      <c r="I12">
        <f>'02_Usos'!$I$11</f>
        <v>25.297465222122501</v>
      </c>
      <c r="J12">
        <f>'02_Usos'!$J$11</f>
        <v>22.641904663160101</v>
      </c>
      <c r="K12">
        <f>'02_Usos'!$K$11</f>
        <v>12.5900156711271</v>
      </c>
      <c r="L12">
        <f>'02_Usos'!$L$11</f>
        <v>189.571113492389</v>
      </c>
      <c r="M12">
        <f>'02_Usos'!$M$11</f>
        <v>52.578598793027297</v>
      </c>
      <c r="N12">
        <f>0</f>
        <v>0</v>
      </c>
      <c r="O12">
        <f>'02_Usos'!$P$11</f>
        <v>3.8794981497461101</v>
      </c>
      <c r="P12">
        <f>'02_Usos'!$R$11</f>
        <v>0</v>
      </c>
      <c r="Q12">
        <f>'02_Usos'!$S$11</f>
        <v>3685.5421937107699</v>
      </c>
      <c r="R12">
        <f>'02_Usos'!$T$11</f>
        <v>0</v>
      </c>
      <c r="S12">
        <f>'02_Usos'!$U$11</f>
        <v>0</v>
      </c>
      <c r="T12">
        <f>'02_Usos'!$V$11</f>
        <v>0</v>
      </c>
      <c r="U12">
        <f t="shared" si="0"/>
        <v>4466.4415714210827</v>
      </c>
    </row>
    <row r="13" spans="1:21" x14ac:dyDescent="0.25">
      <c r="A13" t="s">
        <v>79</v>
      </c>
      <c r="B13">
        <f>'02_Usos'!$B$12</f>
        <v>42.118355261147798</v>
      </c>
      <c r="C13">
        <f>'02_Usos'!$C$12</f>
        <v>12.5275283731147</v>
      </c>
      <c r="D13">
        <f>'02_Usos'!$D$12</f>
        <v>458.775294532864</v>
      </c>
      <c r="E13">
        <f>'02_Usos'!$E$12</f>
        <v>286.225364882863</v>
      </c>
      <c r="F13">
        <f>'02_Usos'!$F$12</f>
        <v>178.98604140696301</v>
      </c>
      <c r="G13">
        <f>'02_Usos'!$G$12</f>
        <v>998.88510419587396</v>
      </c>
      <c r="H13">
        <f>'02_Usos'!$H$12</f>
        <v>184.47088773079801</v>
      </c>
      <c r="I13">
        <f>'02_Usos'!$I$12</f>
        <v>338.46967536547601</v>
      </c>
      <c r="J13">
        <f>'02_Usos'!$J$12</f>
        <v>261.46514673152001</v>
      </c>
      <c r="K13">
        <f>'02_Usos'!$K$12</f>
        <v>34.804536694565797</v>
      </c>
      <c r="L13">
        <f>'02_Usos'!$L$12</f>
        <v>903.45327233683497</v>
      </c>
      <c r="M13">
        <f>'02_Usos'!$M$12</f>
        <v>1594.0539851707999</v>
      </c>
      <c r="N13">
        <f>0</f>
        <v>0</v>
      </c>
      <c r="O13">
        <f>'02_Usos'!$P$12</f>
        <v>213.005483454559</v>
      </c>
      <c r="P13">
        <f>'02_Usos'!$R$12</f>
        <v>564.58528967384598</v>
      </c>
      <c r="Q13">
        <f>'02_Usos'!$S$12</f>
        <v>8822.4346965681198</v>
      </c>
      <c r="R13">
        <f>'02_Usos'!$T$12</f>
        <v>462.88319809283797</v>
      </c>
      <c r="S13">
        <f>'02_Usos'!$U$12</f>
        <v>158.717510721054</v>
      </c>
      <c r="T13">
        <f>'02_Usos'!$V$12</f>
        <v>0</v>
      </c>
      <c r="U13">
        <f t="shared" si="0"/>
        <v>15515.861371193238</v>
      </c>
    </row>
    <row r="14" spans="1:21" x14ac:dyDescent="0.25">
      <c r="A14" t="s">
        <v>80</v>
      </c>
      <c r="B14">
        <f>'02_Usos'!$B$13</f>
        <v>0</v>
      </c>
      <c r="C14">
        <f>'02_Usos'!$C$13</f>
        <v>0</v>
      </c>
      <c r="D14">
        <f>'02_Usos'!$D$13</f>
        <v>0</v>
      </c>
      <c r="E14">
        <f>'02_Usos'!$E$13</f>
        <v>0</v>
      </c>
      <c r="F14">
        <f>'02_Usos'!$F$13</f>
        <v>0</v>
      </c>
      <c r="G14">
        <f>'02_Usos'!$G$13</f>
        <v>0</v>
      </c>
      <c r="H14">
        <f>'02_Usos'!$H$13</f>
        <v>0</v>
      </c>
      <c r="I14">
        <f>'02_Usos'!$I$13</f>
        <v>0</v>
      </c>
      <c r="J14">
        <f>'02_Usos'!$J$13</f>
        <v>0</v>
      </c>
      <c r="K14">
        <f>'02_Usos'!$K$13</f>
        <v>0</v>
      </c>
      <c r="L14">
        <f>'02_Usos'!$L$13</f>
        <v>0</v>
      </c>
      <c r="M14">
        <f>'02_Usos'!$M$13</f>
        <v>0</v>
      </c>
      <c r="N14">
        <f>0</f>
        <v>0</v>
      </c>
      <c r="O14">
        <f>'02_Usos'!$P$13</f>
        <v>0</v>
      </c>
      <c r="P14">
        <f>'02_Usos'!$R$13</f>
        <v>19737.216629487699</v>
      </c>
      <c r="Q14">
        <f>'02_Usos'!$S$13</f>
        <v>0</v>
      </c>
      <c r="R14">
        <f>'02_Usos'!$T$13</f>
        <v>0</v>
      </c>
      <c r="S14">
        <f>'02_Usos'!$U$13</f>
        <v>0</v>
      </c>
      <c r="T14">
        <f>'02_Usos'!$V$13</f>
        <v>0</v>
      </c>
      <c r="U14">
        <f t="shared" si="0"/>
        <v>19737.216629487699</v>
      </c>
    </row>
    <row r="16" spans="1:21" ht="15.75" x14ac:dyDescent="0.25">
      <c r="A16" s="1" t="s">
        <v>143</v>
      </c>
    </row>
    <row r="17" spans="1:23" ht="90" x14ac:dyDescent="0.25">
      <c r="A17" s="2" t="s">
        <v>131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73</v>
      </c>
      <c r="G17" s="2" t="s">
        <v>74</v>
      </c>
      <c r="H17" s="2" t="s">
        <v>75</v>
      </c>
      <c r="I17" s="2" t="s">
        <v>76</v>
      </c>
      <c r="J17" s="2" t="s">
        <v>77</v>
      </c>
      <c r="K17" s="2" t="s">
        <v>78</v>
      </c>
      <c r="L17" s="2" t="s">
        <v>79</v>
      </c>
      <c r="M17" s="2" t="s">
        <v>80</v>
      </c>
      <c r="N17" s="2" t="s">
        <v>92</v>
      </c>
      <c r="O17" s="2" t="s">
        <v>93</v>
      </c>
      <c r="P17" s="2" t="s">
        <v>95</v>
      </c>
      <c r="Q17" s="2" t="s">
        <v>96</v>
      </c>
      <c r="R17" s="2" t="s">
        <v>97</v>
      </c>
      <c r="S17" s="2" t="s">
        <v>98</v>
      </c>
      <c r="T17" s="2" t="s">
        <v>99</v>
      </c>
      <c r="U17" s="2" t="s">
        <v>134</v>
      </c>
    </row>
    <row r="18" spans="1:23" x14ac:dyDescent="0.25">
      <c r="A18" t="s">
        <v>69</v>
      </c>
      <c r="B18">
        <f t="shared" ref="B18:T18" si="1">IF($U$3=0,0,B$3/$U$3)</f>
        <v>4.5779182118122673E-2</v>
      </c>
      <c r="C18">
        <f t="shared" si="1"/>
        <v>1.5917876698944179E-6</v>
      </c>
      <c r="D18">
        <f t="shared" si="1"/>
        <v>0.21652812234613911</v>
      </c>
      <c r="E18">
        <f t="shared" si="1"/>
        <v>3.6161303897354602E-5</v>
      </c>
      <c r="F18">
        <f t="shared" si="1"/>
        <v>1.3531360561620392E-3</v>
      </c>
      <c r="G18">
        <f t="shared" si="1"/>
        <v>8.6979522502315491E-3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  <c r="L18">
        <f t="shared" si="1"/>
        <v>9.2368215742219921E-3</v>
      </c>
      <c r="M18">
        <f t="shared" si="1"/>
        <v>6.1455664789818445E-3</v>
      </c>
      <c r="N18">
        <f t="shared" si="1"/>
        <v>0</v>
      </c>
      <c r="O18">
        <f t="shared" si="1"/>
        <v>0.17271106813533679</v>
      </c>
      <c r="P18">
        <f t="shared" si="1"/>
        <v>1.6585088988970819E-4</v>
      </c>
      <c r="Q18">
        <f t="shared" si="1"/>
        <v>0.4045044518572426</v>
      </c>
      <c r="R18">
        <f t="shared" si="1"/>
        <v>0</v>
      </c>
      <c r="S18">
        <f t="shared" si="1"/>
        <v>2.2801699103291388E-2</v>
      </c>
      <c r="T18">
        <f t="shared" si="1"/>
        <v>0.11203839609881322</v>
      </c>
      <c r="U18">
        <f t="shared" ref="U18:U29" si="2">SUM(B18:T18)</f>
        <v>1.0000000000000002</v>
      </c>
    </row>
    <row r="19" spans="1:23" x14ac:dyDescent="0.25">
      <c r="A19" t="s">
        <v>70</v>
      </c>
      <c r="B19">
        <f t="shared" ref="B19:T19" si="3">IF($U$4=0,0,B$4/$U$4)</f>
        <v>2.0741255915701737E-2</v>
      </c>
      <c r="C19">
        <f t="shared" si="3"/>
        <v>1.1701213484367444E-2</v>
      </c>
      <c r="D19">
        <f t="shared" si="3"/>
        <v>0.35140626034170119</v>
      </c>
      <c r="E19">
        <f t="shared" si="3"/>
        <v>9.4205032808206985E-3</v>
      </c>
      <c r="F19">
        <f t="shared" si="3"/>
        <v>0.23842139841361956</v>
      </c>
      <c r="G19">
        <f t="shared" si="3"/>
        <v>1.27975182356397E-3</v>
      </c>
      <c r="H19">
        <f t="shared" si="3"/>
        <v>1.0784232362723855E-5</v>
      </c>
      <c r="I19">
        <f t="shared" si="3"/>
        <v>0</v>
      </c>
      <c r="J19">
        <f t="shared" si="3"/>
        <v>0</v>
      </c>
      <c r="K19">
        <f t="shared" si="3"/>
        <v>1.3868072630524069E-2</v>
      </c>
      <c r="L19">
        <f t="shared" si="3"/>
        <v>9.6098172788552331E-4</v>
      </c>
      <c r="M19">
        <f t="shared" si="3"/>
        <v>4.7386977321761036E-3</v>
      </c>
      <c r="N19">
        <f t="shared" si="3"/>
        <v>0</v>
      </c>
      <c r="O19">
        <f t="shared" si="3"/>
        <v>0.20601250999300807</v>
      </c>
      <c r="P19">
        <f t="shared" si="3"/>
        <v>0</v>
      </c>
      <c r="Q19">
        <f t="shared" si="3"/>
        <v>0</v>
      </c>
      <c r="R19">
        <f t="shared" si="3"/>
        <v>0</v>
      </c>
      <c r="S19">
        <f t="shared" si="3"/>
        <v>0</v>
      </c>
      <c r="T19">
        <f t="shared" si="3"/>
        <v>0.14143857042426911</v>
      </c>
      <c r="U19">
        <f t="shared" si="2"/>
        <v>1</v>
      </c>
    </row>
    <row r="20" spans="1:23" x14ac:dyDescent="0.25">
      <c r="A20" t="s">
        <v>71</v>
      </c>
      <c r="B20">
        <f t="shared" ref="B20:T20" si="4">IF($U$5=0,0,B$5/$U$5)</f>
        <v>5.1434037267600478E-2</v>
      </c>
      <c r="C20">
        <f t="shared" si="4"/>
        <v>1.3221444493872554E-3</v>
      </c>
      <c r="D20">
        <f t="shared" si="4"/>
        <v>7.9702993188071225E-2</v>
      </c>
      <c r="E20">
        <f t="shared" si="4"/>
        <v>9.2426964707117473E-3</v>
      </c>
      <c r="F20">
        <f t="shared" si="4"/>
        <v>4.471367352450871E-2</v>
      </c>
      <c r="G20">
        <f t="shared" si="4"/>
        <v>2.0408920320524521E-2</v>
      </c>
      <c r="H20">
        <f t="shared" si="4"/>
        <v>1.7059713565859828E-2</v>
      </c>
      <c r="I20">
        <f t="shared" si="4"/>
        <v>1.4030789169072397E-3</v>
      </c>
      <c r="J20">
        <f t="shared" si="4"/>
        <v>7.0664989548872793E-4</v>
      </c>
      <c r="K20">
        <f t="shared" si="4"/>
        <v>1.1799298817312426E-3</v>
      </c>
      <c r="L20">
        <f t="shared" si="4"/>
        <v>2.6943487176945537E-2</v>
      </c>
      <c r="M20">
        <f t="shared" si="4"/>
        <v>2.1494935841003437E-2</v>
      </c>
      <c r="N20">
        <f t="shared" si="4"/>
        <v>0</v>
      </c>
      <c r="O20">
        <f t="shared" si="4"/>
        <v>0.11179987141748737</v>
      </c>
      <c r="P20">
        <f t="shared" si="4"/>
        <v>2.48068117912797E-3</v>
      </c>
      <c r="Q20">
        <f t="shared" si="4"/>
        <v>0.51136555182078069</v>
      </c>
      <c r="R20">
        <f t="shared" si="4"/>
        <v>0</v>
      </c>
      <c r="S20">
        <f t="shared" si="4"/>
        <v>5.1241975603025181E-2</v>
      </c>
      <c r="T20">
        <f t="shared" si="4"/>
        <v>4.7499659480838716E-2</v>
      </c>
      <c r="U20">
        <f t="shared" si="2"/>
        <v>0.99999999999999989</v>
      </c>
    </row>
    <row r="21" spans="1:23" x14ac:dyDescent="0.25">
      <c r="A21" t="s">
        <v>72</v>
      </c>
      <c r="B21">
        <f t="shared" ref="B21:T21" si="5">IF($U$6=0,0,B$6/$U$6)</f>
        <v>3.402421984008721E-2</v>
      </c>
      <c r="C21">
        <f t="shared" si="5"/>
        <v>1.7364726526229858E-3</v>
      </c>
      <c r="D21">
        <f t="shared" si="5"/>
        <v>3.0102560589918628E-2</v>
      </c>
      <c r="E21">
        <f t="shared" si="5"/>
        <v>0.3253446798222156</v>
      </c>
      <c r="F21">
        <f t="shared" si="5"/>
        <v>2.4197020573415227E-3</v>
      </c>
      <c r="G21">
        <f t="shared" si="5"/>
        <v>5.6171927501208585E-2</v>
      </c>
      <c r="H21">
        <f t="shared" si="5"/>
        <v>5.738810829500042E-3</v>
      </c>
      <c r="I21">
        <f t="shared" si="5"/>
        <v>4.7782278890187192E-3</v>
      </c>
      <c r="J21">
        <f t="shared" si="5"/>
        <v>2.8438225610195014E-3</v>
      </c>
      <c r="K21">
        <f t="shared" si="5"/>
        <v>1.5646531740983499E-3</v>
      </c>
      <c r="L21">
        <f t="shared" si="5"/>
        <v>4.7647609301235842E-2</v>
      </c>
      <c r="M21">
        <f t="shared" si="5"/>
        <v>8.3975368452885571E-2</v>
      </c>
      <c r="N21">
        <f t="shared" si="5"/>
        <v>0</v>
      </c>
      <c r="O21">
        <f t="shared" si="5"/>
        <v>0.1349258957090802</v>
      </c>
      <c r="P21">
        <f t="shared" si="5"/>
        <v>0</v>
      </c>
      <c r="Q21">
        <f t="shared" si="5"/>
        <v>0.26835866038491829</v>
      </c>
      <c r="R21">
        <f t="shared" si="5"/>
        <v>0</v>
      </c>
      <c r="S21">
        <f t="shared" si="5"/>
        <v>0</v>
      </c>
      <c r="T21">
        <f t="shared" si="5"/>
        <v>3.6738923484897683E-4</v>
      </c>
      <c r="U21">
        <f t="shared" si="2"/>
        <v>1</v>
      </c>
    </row>
    <row r="22" spans="1:23" x14ac:dyDescent="0.25">
      <c r="A22" t="s">
        <v>73</v>
      </c>
      <c r="B22">
        <f t="shared" ref="B22:T22" si="6">IF($U$7=0,0,B$7/$U$7)</f>
        <v>6.2507775792651954E-4</v>
      </c>
      <c r="C22">
        <f t="shared" si="6"/>
        <v>2.2545518490445515E-6</v>
      </c>
      <c r="D22">
        <f t="shared" si="6"/>
        <v>3.7026372973187385E-4</v>
      </c>
      <c r="E22">
        <f t="shared" si="6"/>
        <v>1.2922215339304335E-2</v>
      </c>
      <c r="F22">
        <f t="shared" si="6"/>
        <v>0.11530900882949363</v>
      </c>
      <c r="G22">
        <f t="shared" si="6"/>
        <v>1.8277835447696688E-3</v>
      </c>
      <c r="H22">
        <f t="shared" si="6"/>
        <v>1.365654721621678E-3</v>
      </c>
      <c r="I22">
        <f t="shared" si="6"/>
        <v>5.5526682269860976E-3</v>
      </c>
      <c r="J22">
        <f t="shared" si="6"/>
        <v>8.0270447509853311E-4</v>
      </c>
      <c r="K22">
        <f t="shared" si="6"/>
        <v>1.7229812815345385E-3</v>
      </c>
      <c r="L22">
        <f t="shared" si="6"/>
        <v>4.0638164738256198E-3</v>
      </c>
      <c r="M22">
        <f t="shared" si="6"/>
        <v>5.9359050153738407E-2</v>
      </c>
      <c r="N22">
        <f t="shared" si="6"/>
        <v>0</v>
      </c>
      <c r="O22">
        <f t="shared" si="6"/>
        <v>0</v>
      </c>
      <c r="P22">
        <f t="shared" si="6"/>
        <v>0</v>
      </c>
      <c r="Q22">
        <f t="shared" si="6"/>
        <v>0</v>
      </c>
      <c r="R22">
        <f t="shared" si="6"/>
        <v>0</v>
      </c>
      <c r="S22">
        <f t="shared" si="6"/>
        <v>0.79607652091412007</v>
      </c>
      <c r="T22">
        <f t="shared" si="6"/>
        <v>0</v>
      </c>
      <c r="U22">
        <f t="shared" si="2"/>
        <v>1</v>
      </c>
    </row>
    <row r="23" spans="1:23" x14ac:dyDescent="0.25">
      <c r="A23" t="s">
        <v>74</v>
      </c>
      <c r="B23">
        <f t="shared" ref="B23:T23" si="7">IF($U$8=0,0,B$8/$U$8)</f>
        <v>5.1436308496879257E-3</v>
      </c>
      <c r="C23">
        <f t="shared" si="7"/>
        <v>2.5208981792379206E-4</v>
      </c>
      <c r="D23">
        <f t="shared" si="7"/>
        <v>9.8964318782416502E-2</v>
      </c>
      <c r="E23">
        <f t="shared" si="7"/>
        <v>1.546261920340627E-2</v>
      </c>
      <c r="F23">
        <f t="shared" si="7"/>
        <v>6.6660260984163586E-3</v>
      </c>
      <c r="G23">
        <f t="shared" si="7"/>
        <v>8.9154035869060538E-2</v>
      </c>
      <c r="H23">
        <f t="shared" si="7"/>
        <v>5.9017998698786128E-2</v>
      </c>
      <c r="I23">
        <f t="shared" si="7"/>
        <v>2.9831237880852811E-2</v>
      </c>
      <c r="J23">
        <f t="shared" si="7"/>
        <v>5.9726398931643065E-4</v>
      </c>
      <c r="K23">
        <f t="shared" si="7"/>
        <v>1.5830259358595454E-4</v>
      </c>
      <c r="L23">
        <f t="shared" si="7"/>
        <v>1.5521436195314032E-2</v>
      </c>
      <c r="M23">
        <f t="shared" si="7"/>
        <v>6.7173599911191845E-2</v>
      </c>
      <c r="N23">
        <f t="shared" si="7"/>
        <v>0</v>
      </c>
      <c r="O23">
        <f t="shared" si="7"/>
        <v>0</v>
      </c>
      <c r="P23">
        <f t="shared" si="7"/>
        <v>0</v>
      </c>
      <c r="Q23">
        <f t="shared" si="7"/>
        <v>0.61205744011004137</v>
      </c>
      <c r="R23">
        <f t="shared" si="7"/>
        <v>0</v>
      </c>
      <c r="S23">
        <f t="shared" si="7"/>
        <v>0</v>
      </c>
      <c r="T23">
        <f t="shared" si="7"/>
        <v>0</v>
      </c>
      <c r="U23">
        <f t="shared" si="2"/>
        <v>0.99999999999999989</v>
      </c>
    </row>
    <row r="24" spans="1:23" x14ac:dyDescent="0.25">
      <c r="A24" t="s">
        <v>75</v>
      </c>
      <c r="B24">
        <f t="shared" ref="B24:T24" si="8">IF($U$9=0,0,B$9/$U$9)</f>
        <v>3.8427582549254137E-2</v>
      </c>
      <c r="C24">
        <f t="shared" si="8"/>
        <v>2.1360015325926759E-3</v>
      </c>
      <c r="D24">
        <f t="shared" si="8"/>
        <v>0.13889137674658172</v>
      </c>
      <c r="E24">
        <f t="shared" si="8"/>
        <v>7.6993502760416025E-3</v>
      </c>
      <c r="F24">
        <f t="shared" si="8"/>
        <v>1.1998060730306731E-2</v>
      </c>
      <c r="G24">
        <f t="shared" si="8"/>
        <v>0.16297860241328882</v>
      </c>
      <c r="H24">
        <f t="shared" si="8"/>
        <v>0.10449242826966361</v>
      </c>
      <c r="I24">
        <f t="shared" si="8"/>
        <v>3.769425168709351E-3</v>
      </c>
      <c r="J24">
        <f t="shared" si="8"/>
        <v>9.5836909979552139E-3</v>
      </c>
      <c r="K24">
        <f t="shared" si="8"/>
        <v>6.4960580122042544E-4</v>
      </c>
      <c r="L24">
        <f t="shared" si="8"/>
        <v>4.5618209456659731E-2</v>
      </c>
      <c r="M24">
        <f t="shared" si="8"/>
        <v>7.0248267294322875E-2</v>
      </c>
      <c r="N24">
        <f t="shared" si="8"/>
        <v>0</v>
      </c>
      <c r="O24">
        <f t="shared" si="8"/>
        <v>0</v>
      </c>
      <c r="P24">
        <f t="shared" si="8"/>
        <v>0</v>
      </c>
      <c r="Q24">
        <f t="shared" si="8"/>
        <v>0.40350739876340308</v>
      </c>
      <c r="R24">
        <f t="shared" si="8"/>
        <v>0</v>
      </c>
      <c r="S24">
        <f t="shared" si="8"/>
        <v>0</v>
      </c>
      <c r="T24">
        <f t="shared" si="8"/>
        <v>0</v>
      </c>
      <c r="U24">
        <f t="shared" si="2"/>
        <v>1</v>
      </c>
    </row>
    <row r="25" spans="1:23" x14ac:dyDescent="0.25">
      <c r="A25" t="s">
        <v>76</v>
      </c>
      <c r="B25">
        <f t="shared" ref="B25:T25" si="9">IF($U$10=0,0,B$10/$U$10)</f>
        <v>2.7650838322366994E-4</v>
      </c>
      <c r="C25">
        <f t="shared" si="9"/>
        <v>1.0245094283235529E-4</v>
      </c>
      <c r="D25">
        <f t="shared" si="9"/>
        <v>2.1855344432857908E-2</v>
      </c>
      <c r="E25">
        <f t="shared" si="9"/>
        <v>1.8432468095952594E-2</v>
      </c>
      <c r="F25">
        <f t="shared" si="9"/>
        <v>7.5026389591340654E-3</v>
      </c>
      <c r="G25">
        <f t="shared" si="9"/>
        <v>6.910947840074444E-2</v>
      </c>
      <c r="H25">
        <f t="shared" si="9"/>
        <v>1.4242502633771645E-2</v>
      </c>
      <c r="I25">
        <f t="shared" si="9"/>
        <v>0.11715588876448388</v>
      </c>
      <c r="J25">
        <f t="shared" si="9"/>
        <v>4.7197917001036538E-2</v>
      </c>
      <c r="K25">
        <f t="shared" si="9"/>
        <v>2.6804716806196017E-3</v>
      </c>
      <c r="L25">
        <f t="shared" si="9"/>
        <v>9.174121768433402E-2</v>
      </c>
      <c r="M25">
        <f t="shared" si="9"/>
        <v>0.17896766083185897</v>
      </c>
      <c r="N25">
        <f t="shared" si="9"/>
        <v>0</v>
      </c>
      <c r="O25">
        <f t="shared" si="9"/>
        <v>1.1953860621245061E-2</v>
      </c>
      <c r="P25">
        <f t="shared" si="9"/>
        <v>0</v>
      </c>
      <c r="Q25">
        <f t="shared" si="9"/>
        <v>0.36959296713192402</v>
      </c>
      <c r="R25">
        <f t="shared" si="9"/>
        <v>0</v>
      </c>
      <c r="S25">
        <f t="shared" si="9"/>
        <v>4.9392894087945526E-2</v>
      </c>
      <c r="T25">
        <f t="shared" si="9"/>
        <v>-2.0426965196437252E-4</v>
      </c>
      <c r="U25">
        <f t="shared" si="2"/>
        <v>0.99999999999999978</v>
      </c>
    </row>
    <row r="26" spans="1:23" x14ac:dyDescent="0.25">
      <c r="A26" t="s">
        <v>77</v>
      </c>
      <c r="B26">
        <f t="shared" ref="B26:T26" si="10">IF($U$11=0,0,B$11/$U$11)</f>
        <v>2.1447218451858187E-2</v>
      </c>
      <c r="C26">
        <f t="shared" si="10"/>
        <v>1.2015785482841557E-3</v>
      </c>
      <c r="D26">
        <f t="shared" si="10"/>
        <v>3.0086346268744468E-2</v>
      </c>
      <c r="E26">
        <f t="shared" si="10"/>
        <v>2.1507227889992299E-2</v>
      </c>
      <c r="F26">
        <f t="shared" si="10"/>
        <v>1.5909492170236482E-2</v>
      </c>
      <c r="G26">
        <f t="shared" si="10"/>
        <v>4.0482236755839354E-2</v>
      </c>
      <c r="H26">
        <f t="shared" si="10"/>
        <v>1.1693214507389476E-2</v>
      </c>
      <c r="I26">
        <f t="shared" si="10"/>
        <v>1.0978843407590923E-2</v>
      </c>
      <c r="J26">
        <f t="shared" si="10"/>
        <v>6.0190698305014362E-2</v>
      </c>
      <c r="K26">
        <f t="shared" si="10"/>
        <v>2.5190656634029234E-2</v>
      </c>
      <c r="L26">
        <f t="shared" si="10"/>
        <v>2.4471610746495794E-2</v>
      </c>
      <c r="M26">
        <f t="shared" si="10"/>
        <v>0.11022995132424462</v>
      </c>
      <c r="N26">
        <f t="shared" si="10"/>
        <v>0</v>
      </c>
      <c r="O26">
        <f t="shared" si="10"/>
        <v>0</v>
      </c>
      <c r="P26">
        <f t="shared" si="10"/>
        <v>1.2723836196070375E-3</v>
      </c>
      <c r="Q26">
        <f t="shared" si="10"/>
        <v>0.62533854137067368</v>
      </c>
      <c r="R26">
        <f t="shared" si="10"/>
        <v>0</v>
      </c>
      <c r="S26">
        <f t="shared" si="10"/>
        <v>0</v>
      </c>
      <c r="T26">
        <f t="shared" si="10"/>
        <v>0</v>
      </c>
      <c r="U26">
        <f t="shared" si="2"/>
        <v>1</v>
      </c>
    </row>
    <row r="27" spans="1:23" x14ac:dyDescent="0.25">
      <c r="A27" t="s">
        <v>78</v>
      </c>
      <c r="B27">
        <f t="shared" ref="B27:T27" si="11">IF($U$12=0,0,B$12/$U$12)</f>
        <v>5.2622098611848998E-5</v>
      </c>
      <c r="C27">
        <f t="shared" si="11"/>
        <v>1.0242265605882737E-4</v>
      </c>
      <c r="D27">
        <f t="shared" si="11"/>
        <v>4.8688898447011159E-3</v>
      </c>
      <c r="E27">
        <f t="shared" si="11"/>
        <v>5.203162038822211E-3</v>
      </c>
      <c r="F27">
        <f t="shared" si="11"/>
        <v>3.0360463654588517E-3</v>
      </c>
      <c r="G27">
        <f t="shared" si="11"/>
        <v>8.2825231221329843E-2</v>
      </c>
      <c r="H27">
        <f t="shared" si="11"/>
        <v>1.0112675119052448E-2</v>
      </c>
      <c r="I27">
        <f t="shared" si="11"/>
        <v>5.6638970459147045E-3</v>
      </c>
      <c r="J27">
        <f t="shared" si="11"/>
        <v>5.0693386001143077E-3</v>
      </c>
      <c r="K27">
        <f t="shared" si="11"/>
        <v>2.8188022768920605E-3</v>
      </c>
      <c r="L27">
        <f t="shared" si="11"/>
        <v>4.2443432979259454E-2</v>
      </c>
      <c r="M27">
        <f t="shared" si="11"/>
        <v>1.1771921327585715E-2</v>
      </c>
      <c r="N27">
        <f t="shared" si="11"/>
        <v>0</v>
      </c>
      <c r="O27">
        <f t="shared" si="11"/>
        <v>8.6858813391166214E-4</v>
      </c>
      <c r="P27">
        <f t="shared" si="11"/>
        <v>0</v>
      </c>
      <c r="Q27">
        <f t="shared" si="11"/>
        <v>0.8251629702922868</v>
      </c>
      <c r="R27">
        <f t="shared" si="11"/>
        <v>0</v>
      </c>
      <c r="S27">
        <f t="shared" si="11"/>
        <v>0</v>
      </c>
      <c r="T27">
        <f t="shared" si="11"/>
        <v>0</v>
      </c>
      <c r="U27">
        <f t="shared" si="2"/>
        <v>0.99999999999999989</v>
      </c>
    </row>
    <row r="28" spans="1:23" x14ac:dyDescent="0.25">
      <c r="A28" t="s">
        <v>79</v>
      </c>
      <c r="B28">
        <f t="shared" ref="B28:T28" si="12">IF($U$13=0,0,B$13/$U$13)</f>
        <v>2.71453541982173E-3</v>
      </c>
      <c r="C28">
        <f t="shared" si="12"/>
        <v>8.0740141158861607E-4</v>
      </c>
      <c r="D28">
        <f t="shared" si="12"/>
        <v>2.9568148590488608E-2</v>
      </c>
      <c r="E28">
        <f t="shared" si="12"/>
        <v>1.8447275213109939E-2</v>
      </c>
      <c r="F28">
        <f t="shared" si="12"/>
        <v>1.153568191446133E-2</v>
      </c>
      <c r="G28">
        <f t="shared" si="12"/>
        <v>6.4378321016092921E-2</v>
      </c>
      <c r="H28">
        <f t="shared" si="12"/>
        <v>1.1889181226721118E-2</v>
      </c>
      <c r="I28">
        <f t="shared" si="12"/>
        <v>2.1814430231626013E-2</v>
      </c>
      <c r="J28">
        <f t="shared" si="12"/>
        <v>1.6851474789337604E-2</v>
      </c>
      <c r="K28">
        <f t="shared" si="12"/>
        <v>2.2431585241657246E-3</v>
      </c>
      <c r="L28">
        <f t="shared" si="12"/>
        <v>5.8227722633187942E-2</v>
      </c>
      <c r="M28">
        <f t="shared" si="12"/>
        <v>0.10273706029175551</v>
      </c>
      <c r="N28">
        <f t="shared" si="12"/>
        <v>0</v>
      </c>
      <c r="O28">
        <f t="shared" si="12"/>
        <v>1.3728240950259145E-2</v>
      </c>
      <c r="P28">
        <f t="shared" si="12"/>
        <v>3.6387621426036687E-2</v>
      </c>
      <c r="Q28">
        <f t="shared" si="12"/>
        <v>0.56860747112292842</v>
      </c>
      <c r="R28">
        <f t="shared" si="12"/>
        <v>2.9832903698935292E-2</v>
      </c>
      <c r="S28">
        <f t="shared" si="12"/>
        <v>1.02293715394834E-2</v>
      </c>
      <c r="T28">
        <f t="shared" si="12"/>
        <v>0</v>
      </c>
      <c r="U28">
        <f t="shared" si="2"/>
        <v>1</v>
      </c>
    </row>
    <row r="29" spans="1:23" x14ac:dyDescent="0.25">
      <c r="A29" t="s">
        <v>80</v>
      </c>
      <c r="B29">
        <f t="shared" ref="B29:T29" si="13">IF($U$14=0,0,B$14/$U$14)</f>
        <v>0</v>
      </c>
      <c r="C29">
        <f t="shared" si="13"/>
        <v>0</v>
      </c>
      <c r="D29">
        <f t="shared" si="13"/>
        <v>0</v>
      </c>
      <c r="E29">
        <f t="shared" si="13"/>
        <v>0</v>
      </c>
      <c r="F29">
        <f t="shared" si="13"/>
        <v>0</v>
      </c>
      <c r="G29">
        <f t="shared" si="13"/>
        <v>0</v>
      </c>
      <c r="H29">
        <f t="shared" si="13"/>
        <v>0</v>
      </c>
      <c r="I29">
        <f t="shared" si="13"/>
        <v>0</v>
      </c>
      <c r="J29">
        <f t="shared" si="13"/>
        <v>0</v>
      </c>
      <c r="K29">
        <f t="shared" si="13"/>
        <v>0</v>
      </c>
      <c r="L29">
        <f t="shared" si="13"/>
        <v>0</v>
      </c>
      <c r="M29">
        <f t="shared" si="13"/>
        <v>0</v>
      </c>
      <c r="N29">
        <f t="shared" si="13"/>
        <v>0</v>
      </c>
      <c r="O29">
        <f t="shared" si="13"/>
        <v>0</v>
      </c>
      <c r="P29">
        <f t="shared" si="13"/>
        <v>1</v>
      </c>
      <c r="Q29">
        <f t="shared" si="13"/>
        <v>0</v>
      </c>
      <c r="R29">
        <f t="shared" si="13"/>
        <v>0</v>
      </c>
      <c r="S29">
        <f t="shared" si="13"/>
        <v>0</v>
      </c>
      <c r="T29">
        <f t="shared" si="13"/>
        <v>0</v>
      </c>
      <c r="U29">
        <f t="shared" si="2"/>
        <v>1</v>
      </c>
    </row>
    <row r="31" spans="1:23" ht="15.75" x14ac:dyDescent="0.25">
      <c r="A31" s="1" t="s">
        <v>144</v>
      </c>
    </row>
    <row r="32" spans="1:23" ht="90" x14ac:dyDescent="0.25">
      <c r="A32" s="2" t="s">
        <v>131</v>
      </c>
      <c r="B32" s="2" t="s">
        <v>69</v>
      </c>
      <c r="C32" s="2" t="s">
        <v>70</v>
      </c>
      <c r="D32" s="2" t="s">
        <v>71</v>
      </c>
      <c r="E32" s="2" t="s">
        <v>72</v>
      </c>
      <c r="F32" s="2" t="s">
        <v>73</v>
      </c>
      <c r="G32" s="2" t="s">
        <v>74</v>
      </c>
      <c r="H32" s="2" t="s">
        <v>75</v>
      </c>
      <c r="I32" s="2" t="s">
        <v>76</v>
      </c>
      <c r="J32" s="2" t="s">
        <v>77</v>
      </c>
      <c r="K32" s="2" t="s">
        <v>78</v>
      </c>
      <c r="L32" s="2" t="s">
        <v>79</v>
      </c>
      <c r="M32" s="2" t="s">
        <v>80</v>
      </c>
      <c r="N32" s="2" t="s">
        <v>92</v>
      </c>
      <c r="O32" s="2" t="s">
        <v>93</v>
      </c>
      <c r="P32" s="2" t="s">
        <v>95</v>
      </c>
      <c r="Q32" s="2" t="s">
        <v>96</v>
      </c>
      <c r="R32" s="2" t="s">
        <v>97</v>
      </c>
      <c r="S32" s="2" t="s">
        <v>98</v>
      </c>
      <c r="T32" s="2" t="s">
        <v>99</v>
      </c>
      <c r="U32" s="2" t="s">
        <v>145</v>
      </c>
      <c r="V32" s="2" t="s">
        <v>146</v>
      </c>
      <c r="W32" s="2" t="s">
        <v>110</v>
      </c>
    </row>
    <row r="33" spans="1:23" x14ac:dyDescent="0.25">
      <c r="A33" t="s">
        <v>69</v>
      </c>
      <c r="B33">
        <f>B$18*'01_Recursos'!$U$2</f>
        <v>6.0950216488611231</v>
      </c>
      <c r="C33">
        <f>C$18*'01_Recursos'!$U$2</f>
        <v>2.1192996160051411E-4</v>
      </c>
      <c r="D33">
        <f>D$18*'01_Recursos'!$U$2</f>
        <v>28.828465958209396</v>
      </c>
      <c r="E33">
        <f>E$18*'01_Recursos'!$U$2</f>
        <v>4.8145012625328398E-3</v>
      </c>
      <c r="F33">
        <f>F$18*'01_Recursos'!$U$2</f>
        <v>0.18015598301607233</v>
      </c>
      <c r="G33">
        <f>G$18*'01_Recursos'!$U$2</f>
        <v>1.15804181754778</v>
      </c>
      <c r="H33">
        <f>H$18*'01_Recursos'!$U$2</f>
        <v>0</v>
      </c>
      <c r="I33">
        <f>I$18*'01_Recursos'!$U$2</f>
        <v>0</v>
      </c>
      <c r="J33">
        <f>J$18*'01_Recursos'!$U$2</f>
        <v>0</v>
      </c>
      <c r="K33">
        <f>K$18*'01_Recursos'!$U$2</f>
        <v>0</v>
      </c>
      <c r="L33">
        <f>L$18*'01_Recursos'!$U$2</f>
        <v>1.2297866597154321</v>
      </c>
      <c r="M33">
        <f>M$18*'01_Recursos'!$U$2</f>
        <v>0.81821821624640312</v>
      </c>
      <c r="N33">
        <f>N$18*'01_Recursos'!$U$2</f>
        <v>0</v>
      </c>
      <c r="O33">
        <f>O$18*'01_Recursos'!$U$2</f>
        <v>22.9946812192191</v>
      </c>
      <c r="P33">
        <f>P$18*'01_Recursos'!$U$2</f>
        <v>2.2081319883617608E-2</v>
      </c>
      <c r="Q33">
        <f>Q$18*'01_Recursos'!$U$2</f>
        <v>53.855557855293988</v>
      </c>
      <c r="R33">
        <f>R$18*'01_Recursos'!$U$2</f>
        <v>0</v>
      </c>
      <c r="S33">
        <f>S$18*'01_Recursos'!$U$2</f>
        <v>3.0358089252617142</v>
      </c>
      <c r="T33">
        <f>T$18*'01_Recursos'!$U$2</f>
        <v>14.916746392802262</v>
      </c>
      <c r="U33">
        <f t="shared" ref="U33:U44" si="14">SUM(B33:T33)</f>
        <v>133.13959242728103</v>
      </c>
      <c r="V33">
        <f>'01_Recursos'!$U$2</f>
        <v>133.139592427281</v>
      </c>
      <c r="W33">
        <f t="shared" ref="W33:W44" si="15">U33-V33</f>
        <v>0</v>
      </c>
    </row>
    <row r="34" spans="1:23" x14ac:dyDescent="0.25">
      <c r="A34" t="s">
        <v>70</v>
      </c>
      <c r="B34">
        <f>B$19*'01_Recursos'!$U$3</f>
        <v>0.21531806271422607</v>
      </c>
      <c r="C34">
        <f>C$19*'01_Recursos'!$U$3</f>
        <v>0.12147203761910363</v>
      </c>
      <c r="D34">
        <f>D$19*'01_Recursos'!$U$3</f>
        <v>3.6480006567560901</v>
      </c>
      <c r="E34">
        <f>E$19*'01_Recursos'!$U$3</f>
        <v>9.7795645763367786E-2</v>
      </c>
      <c r="F34">
        <f>F$19*'01_Recursos'!$U$3</f>
        <v>2.4750879997181867</v>
      </c>
      <c r="G34">
        <f>G$19*'01_Recursos'!$U$3</f>
        <v>1.3285294030637261E-2</v>
      </c>
      <c r="H34">
        <f>H$19*'01_Recursos'!$U$3</f>
        <v>1.1195272020359719E-4</v>
      </c>
      <c r="I34">
        <f>I$19*'01_Recursos'!$U$3</f>
        <v>0</v>
      </c>
      <c r="J34">
        <f>J$19*'01_Recursos'!$U$3</f>
        <v>0</v>
      </c>
      <c r="K34">
        <f>K$19*'01_Recursos'!$U$3</f>
        <v>0.14396652471387228</v>
      </c>
      <c r="L34">
        <f>L$19*'01_Recursos'!$U$3</f>
        <v>9.976094253551851E-3</v>
      </c>
      <c r="M34">
        <f>M$19*'01_Recursos'!$U$3</f>
        <v>4.9193125991374403E-2</v>
      </c>
      <c r="N34">
        <f>N$19*'01_Recursos'!$U$3</f>
        <v>0</v>
      </c>
      <c r="O34">
        <f>O$19*'01_Recursos'!$U$3</f>
        <v>2.1386465085274402</v>
      </c>
      <c r="P34">
        <f>P$19*'01_Recursos'!$U$3</f>
        <v>0</v>
      </c>
      <c r="Q34">
        <f>Q$19*'01_Recursos'!$U$3</f>
        <v>0</v>
      </c>
      <c r="R34">
        <f>R$19*'01_Recursos'!$U$3</f>
        <v>0</v>
      </c>
      <c r="S34">
        <f>S$19*'01_Recursos'!$U$3</f>
        <v>0</v>
      </c>
      <c r="T34">
        <f>T$19*'01_Recursos'!$U$3</f>
        <v>1.4682948371399476</v>
      </c>
      <c r="U34">
        <f t="shared" si="14"/>
        <v>10.381148739947999</v>
      </c>
      <c r="V34">
        <f>'01_Recursos'!$U$3</f>
        <v>10.381148739947999</v>
      </c>
      <c r="W34">
        <f t="shared" si="15"/>
        <v>0</v>
      </c>
    </row>
    <row r="35" spans="1:23" x14ac:dyDescent="0.25">
      <c r="A35" t="s">
        <v>71</v>
      </c>
      <c r="B35">
        <f>B$20*'01_Recursos'!$U$4</f>
        <v>194.7865710364276</v>
      </c>
      <c r="C35">
        <f>C$20*'01_Recursos'!$U$4</f>
        <v>5.0071119708352567</v>
      </c>
      <c r="D35">
        <f>D$20*'01_Recursos'!$U$4</f>
        <v>301.84433439806509</v>
      </c>
      <c r="E35">
        <f>E$20*'01_Recursos'!$U$4</f>
        <v>35.00314671573561</v>
      </c>
      <c r="F35">
        <f>F$20*'01_Recursos'!$U$4</f>
        <v>169.33578631922302</v>
      </c>
      <c r="G35">
        <f>G$20*'01_Recursos'!$U$4</f>
        <v>77.290911213279941</v>
      </c>
      <c r="H35">
        <f>H$20*'01_Recursos'!$U$4</f>
        <v>64.607082875267537</v>
      </c>
      <c r="I35">
        <f>I$20*'01_Recursos'!$U$4</f>
        <v>5.3136200391180397</v>
      </c>
      <c r="J35">
        <f>J$20*'01_Recursos'!$U$4</f>
        <v>2.6761638280377746</v>
      </c>
      <c r="K35">
        <f>K$20*'01_Recursos'!$U$4</f>
        <v>4.4685291673695726</v>
      </c>
      <c r="L35">
        <f>L$20*'01_Recursos'!$U$4</f>
        <v>102.03806190938782</v>
      </c>
      <c r="M35">
        <f>M$20*'01_Recursos'!$U$4</f>
        <v>81.403775972968646</v>
      </c>
      <c r="N35">
        <f>N$20*'01_Recursos'!$U$4</f>
        <v>0</v>
      </c>
      <c r="O35">
        <f>O$20*'01_Recursos'!$U$4</f>
        <v>423.39887655375242</v>
      </c>
      <c r="P35">
        <f>P$20*'01_Recursos'!$U$4</f>
        <v>9.39462282929364</v>
      </c>
      <c r="Q35">
        <f>Q$20*'01_Recursos'!$U$4</f>
        <v>1936.5997241687539</v>
      </c>
      <c r="R35">
        <f>R$20*'01_Recursos'!$U$4</f>
        <v>0</v>
      </c>
      <c r="S35">
        <f>S$20*'01_Recursos'!$U$4</f>
        <v>194.05921158619566</v>
      </c>
      <c r="T35">
        <f>T$20*'01_Recursos'!$U$4</f>
        <v>179.88663319452766</v>
      </c>
      <c r="U35">
        <f t="shared" si="14"/>
        <v>3787.1141637782393</v>
      </c>
      <c r="V35">
        <f>'01_Recursos'!$U$4</f>
        <v>3787.1141637782398</v>
      </c>
      <c r="W35">
        <f t="shared" si="15"/>
        <v>0</v>
      </c>
    </row>
    <row r="36" spans="1:23" x14ac:dyDescent="0.25">
      <c r="A36" t="s">
        <v>72</v>
      </c>
      <c r="B36">
        <f>B$21*'01_Recursos'!$U$5</f>
        <v>15.183514249734955</v>
      </c>
      <c r="C36">
        <f>C$21*'01_Recursos'!$U$5</f>
        <v>0.77491144218131713</v>
      </c>
      <c r="D36">
        <f>D$21*'01_Recursos'!$U$5</f>
        <v>13.433450048780541</v>
      </c>
      <c r="E36">
        <f>E$21*'01_Recursos'!$U$5</f>
        <v>145.18703457047161</v>
      </c>
      <c r="F36">
        <f>F$21*'01_Recursos'!$U$5</f>
        <v>1.0798067035903514</v>
      </c>
      <c r="G36">
        <f>G$21*'01_Recursos'!$U$5</f>
        <v>25.067062982141056</v>
      </c>
      <c r="H36">
        <f>H$21*'01_Recursos'!$U$5</f>
        <v>2.5609791029972322</v>
      </c>
      <c r="I36">
        <f>I$21*'01_Recursos'!$U$5</f>
        <v>2.1323131458232063</v>
      </c>
      <c r="J36">
        <f>J$21*'01_Recursos'!$U$5</f>
        <v>1.2690730480198626</v>
      </c>
      <c r="K36">
        <f>K$21*'01_Recursos'!$U$5</f>
        <v>0.69823595886906986</v>
      </c>
      <c r="L36">
        <f>L$21*'01_Recursos'!$U$5</f>
        <v>21.263034338225811</v>
      </c>
      <c r="M36">
        <f>M$21*'01_Recursos'!$U$5</f>
        <v>37.474516962439871</v>
      </c>
      <c r="N36">
        <f>N$21*'01_Recursos'!$U$5</f>
        <v>0</v>
      </c>
      <c r="O36">
        <f>O$21*'01_Recursos'!$U$5</f>
        <v>60.211498449800189</v>
      </c>
      <c r="P36">
        <f>P$21*'01_Recursos'!$U$5</f>
        <v>0</v>
      </c>
      <c r="Q36">
        <f>Q$21*'01_Recursos'!$U$5</f>
        <v>119.75667812942707</v>
      </c>
      <c r="R36">
        <f>R$21*'01_Recursos'!$U$5</f>
        <v>0</v>
      </c>
      <c r="S36">
        <f>S$21*'01_Recursos'!$U$5</f>
        <v>0</v>
      </c>
      <c r="T36">
        <f>T$21*'01_Recursos'!$U$5</f>
        <v>0.16394967199090271</v>
      </c>
      <c r="U36">
        <f t="shared" si="14"/>
        <v>446.25605880449308</v>
      </c>
      <c r="V36">
        <f>'01_Recursos'!$U$5</f>
        <v>446.25605880449302</v>
      </c>
      <c r="W36">
        <f t="shared" si="15"/>
        <v>0</v>
      </c>
    </row>
    <row r="37" spans="1:23" x14ac:dyDescent="0.25">
      <c r="A37" t="s">
        <v>73</v>
      </c>
      <c r="B37">
        <f>B$22*'01_Recursos'!$U$6</f>
        <v>9.7766352845115478E-2</v>
      </c>
      <c r="C37">
        <f>C$22*'01_Recursos'!$U$6</f>
        <v>3.5262702725571678E-4</v>
      </c>
      <c r="D37">
        <f>D$22*'01_Recursos'!$U$6</f>
        <v>5.7911730161050189E-2</v>
      </c>
      <c r="E37">
        <f>E$22*'01_Recursos'!$U$6</f>
        <v>2.021121129943491</v>
      </c>
      <c r="F37">
        <f>F$22*'01_Recursos'!$U$6</f>
        <v>18.035102194069811</v>
      </c>
      <c r="G37">
        <f>G$22*'01_Recursos'!$U$6</f>
        <v>0.28587760274051177</v>
      </c>
      <c r="H37">
        <f>H$22*'01_Recursos'!$U$6</f>
        <v>0.2135975559609628</v>
      </c>
      <c r="I37">
        <f>I$22*'01_Recursos'!$U$6</f>
        <v>0.86847454453050699</v>
      </c>
      <c r="J37">
        <f>J$22*'01_Recursos'!$U$6</f>
        <v>0.12554836249998474</v>
      </c>
      <c r="K37">
        <f>K$22*'01_Recursos'!$U$6</f>
        <v>0.26948582601116461</v>
      </c>
      <c r="L37">
        <f>L$22*'01_Recursos'!$U$6</f>
        <v>0.63560814673001576</v>
      </c>
      <c r="M37">
        <f>M$22*'01_Recursos'!$U$6</f>
        <v>9.284153480571451</v>
      </c>
      <c r="N37">
        <f>N$22*'01_Recursos'!$U$6</f>
        <v>0</v>
      </c>
      <c r="O37">
        <f>O$22*'01_Recursos'!$U$6</f>
        <v>0</v>
      </c>
      <c r="P37">
        <f>P$22*'01_Recursos'!$U$6</f>
        <v>0</v>
      </c>
      <c r="Q37">
        <f>Q$22*'01_Recursos'!$U$6</f>
        <v>0</v>
      </c>
      <c r="R37">
        <f>R$22*'01_Recursos'!$U$6</f>
        <v>0</v>
      </c>
      <c r="S37">
        <f>S$22*'01_Recursos'!$U$6</f>
        <v>124.51170602130269</v>
      </c>
      <c r="T37">
        <f>T$22*'01_Recursos'!$U$6</f>
        <v>0</v>
      </c>
      <c r="U37">
        <f t="shared" si="14"/>
        <v>156.40670557439401</v>
      </c>
      <c r="V37">
        <f>'01_Recursos'!$U$6</f>
        <v>156.40670557439401</v>
      </c>
      <c r="W37">
        <f t="shared" si="15"/>
        <v>0</v>
      </c>
    </row>
    <row r="38" spans="1:23" x14ac:dyDescent="0.25">
      <c r="A38" t="s">
        <v>74</v>
      </c>
      <c r="B38">
        <f>B$23*'01_Recursos'!$U$7</f>
        <v>4.0994310256544313E-2</v>
      </c>
      <c r="C38">
        <f>C$23*'01_Recursos'!$U$7</f>
        <v>2.0091348913794417E-3</v>
      </c>
      <c r="D38">
        <f>D$23*'01_Recursos'!$U$7</f>
        <v>0.78873739330264769</v>
      </c>
      <c r="E38">
        <f>E$23*'01_Recursos'!$U$7</f>
        <v>0.12323578956714892</v>
      </c>
      <c r="F38">
        <f>F$23*'01_Recursos'!$U$7</f>
        <v>5.3127673824664448E-2</v>
      </c>
      <c r="G38">
        <f>G$23*'01_Recursos'!$U$7</f>
        <v>0.7105502540605324</v>
      </c>
      <c r="H38">
        <f>H$23*'01_Recursos'!$U$7</f>
        <v>0.47036854317124194</v>
      </c>
      <c r="I38">
        <f>I$23*'01_Recursos'!$U$7</f>
        <v>0.23775248589207251</v>
      </c>
      <c r="J38">
        <f>J$23*'01_Recursos'!$U$7</f>
        <v>4.7601443413429721E-3</v>
      </c>
      <c r="K38">
        <f>K$23*'01_Recursos'!$U$7</f>
        <v>1.2616585104026259E-3</v>
      </c>
      <c r="L38">
        <f>L$23*'01_Recursos'!$U$7</f>
        <v>0.1237045561029064</v>
      </c>
      <c r="M38">
        <f>M$23*'01_Recursos'!$U$7</f>
        <v>0.53536800681865615</v>
      </c>
      <c r="N38">
        <f>N$23*'01_Recursos'!$U$7</f>
        <v>0</v>
      </c>
      <c r="O38">
        <f>O$23*'01_Recursos'!$U$7</f>
        <v>0</v>
      </c>
      <c r="P38">
        <f>P$23*'01_Recursos'!$U$7</f>
        <v>0</v>
      </c>
      <c r="Q38">
        <f>Q$23*'01_Recursos'!$U$7</f>
        <v>4.8780469143153296</v>
      </c>
      <c r="R38">
        <f>R$23*'01_Recursos'!$U$7</f>
        <v>0</v>
      </c>
      <c r="S38">
        <f>S$23*'01_Recursos'!$U$7</f>
        <v>0</v>
      </c>
      <c r="T38">
        <f>T$23*'01_Recursos'!$U$7</f>
        <v>0</v>
      </c>
      <c r="U38">
        <f t="shared" si="14"/>
        <v>7.9699168650548691</v>
      </c>
      <c r="V38">
        <f>'01_Recursos'!$U$7</f>
        <v>7.96991686505487</v>
      </c>
      <c r="W38">
        <f t="shared" si="15"/>
        <v>0</v>
      </c>
    </row>
    <row r="39" spans="1:23" x14ac:dyDescent="0.25">
      <c r="A39" t="s">
        <v>75</v>
      </c>
      <c r="B39">
        <f>B$24*'01_Recursos'!$U$8</f>
        <v>5.9882610347873211</v>
      </c>
      <c r="C39">
        <f>C$24*'01_Recursos'!$U$8</f>
        <v>0.33285816851674388</v>
      </c>
      <c r="D39">
        <f>D$24*'01_Recursos'!$U$8</f>
        <v>21.643771589677176</v>
      </c>
      <c r="E39">
        <f>E$24*'01_Recursos'!$U$8</f>
        <v>1.1998079554471954</v>
      </c>
      <c r="F39">
        <f>F$24*'01_Recursos'!$U$8</f>
        <v>1.8696861680595684</v>
      </c>
      <c r="G39">
        <f>G$24*'01_Recursos'!$U$8</f>
        <v>25.397340909610126</v>
      </c>
      <c r="H39">
        <f>H$24*'01_Recursos'!$U$8</f>
        <v>16.283302126422232</v>
      </c>
      <c r="I39">
        <f>I$24*'01_Recursos'!$U$8</f>
        <v>0.5873984352879088</v>
      </c>
      <c r="J39">
        <f>J$24*'01_Recursos'!$U$8</f>
        <v>1.4934492248878437</v>
      </c>
      <c r="K39">
        <f>K$24*'01_Recursos'!$U$8</f>
        <v>0.10122960772861771</v>
      </c>
      <c r="L39">
        <f>L$24*'01_Recursos'!$U$8</f>
        <v>7.1087934250338138</v>
      </c>
      <c r="M39">
        <f>M$24*'01_Recursos'!$U$8</f>
        <v>10.946953565469164</v>
      </c>
      <c r="N39">
        <f>N$24*'01_Recursos'!$U$8</f>
        <v>0</v>
      </c>
      <c r="O39">
        <f>O$24*'01_Recursos'!$U$8</f>
        <v>0</v>
      </c>
      <c r="P39">
        <f>P$24*'01_Recursos'!$U$8</f>
        <v>0</v>
      </c>
      <c r="Q39">
        <f>Q$24*'01_Recursos'!$U$8</f>
        <v>62.879511875778292</v>
      </c>
      <c r="R39">
        <f>R$24*'01_Recursos'!$U$8</f>
        <v>0</v>
      </c>
      <c r="S39">
        <f>S$24*'01_Recursos'!$U$8</f>
        <v>0</v>
      </c>
      <c r="T39">
        <f>T$24*'01_Recursos'!$U$8</f>
        <v>0</v>
      </c>
      <c r="U39">
        <f t="shared" si="14"/>
        <v>155.83236408670598</v>
      </c>
      <c r="V39">
        <f>'01_Recursos'!$U$8</f>
        <v>155.83236408670601</v>
      </c>
      <c r="W39">
        <f t="shared" si="15"/>
        <v>0</v>
      </c>
    </row>
    <row r="40" spans="1:23" x14ac:dyDescent="0.25">
      <c r="A40" t="s">
        <v>76</v>
      </c>
      <c r="B40">
        <f>B$25*'01_Recursos'!$U$9</f>
        <v>6.4583487366890041E-2</v>
      </c>
      <c r="C40">
        <f>C$25*'01_Recursos'!$U$9</f>
        <v>2.3929253409966732E-2</v>
      </c>
      <c r="D40">
        <f>D$25*'01_Recursos'!$U$9</f>
        <v>5.1047072953905337</v>
      </c>
      <c r="E40">
        <f>E$25*'01_Recursos'!$U$9</f>
        <v>4.3052331959592225</v>
      </c>
      <c r="F40">
        <f>F$25*'01_Recursos'!$U$9</f>
        <v>1.7523757608593669</v>
      </c>
      <c r="G40">
        <f>G$25*'01_Recursos'!$U$9</f>
        <v>16.141756981076458</v>
      </c>
      <c r="H40">
        <f>H$25*'01_Recursos'!$U$9</f>
        <v>3.3265916866507106</v>
      </c>
      <c r="I40">
        <f>I$25*'01_Recursos'!$U$9</f>
        <v>27.36385701498731</v>
      </c>
      <c r="J40">
        <f>J$25*'01_Recursos'!$U$9</f>
        <v>11.02391920578498</v>
      </c>
      <c r="K40">
        <f>K$25*'01_Recursos'!$U$9</f>
        <v>0.62607218958193045</v>
      </c>
      <c r="L40">
        <f>L$25*'01_Recursos'!$U$9</f>
        <v>21.427805205264029</v>
      </c>
      <c r="M40">
        <f>M$25*'01_Recursos'!$U$9</f>
        <v>41.801103921925488</v>
      </c>
      <c r="N40">
        <f>N$25*'01_Recursos'!$U$9</f>
        <v>0</v>
      </c>
      <c r="O40">
        <f>O$25*'01_Recursos'!$U$9</f>
        <v>2.7920383368385968</v>
      </c>
      <c r="P40">
        <f>P$25*'01_Recursos'!$U$9</f>
        <v>0</v>
      </c>
      <c r="Q40">
        <f>Q$25*'01_Recursos'!$U$9</f>
        <v>86.325059824127294</v>
      </c>
      <c r="R40">
        <f>R$25*'01_Recursos'!$U$9</f>
        <v>0</v>
      </c>
      <c r="S40">
        <f>S$25*'01_Recursos'!$U$9</f>
        <v>11.536595433935101</v>
      </c>
      <c r="T40">
        <f>T$25*'01_Recursos'!$U$9</f>
        <v>-4.7710837310883984E-2</v>
      </c>
      <c r="U40">
        <f t="shared" si="14"/>
        <v>233.56791795584701</v>
      </c>
      <c r="V40">
        <f>'01_Recursos'!$U$9</f>
        <v>233.56791795584701</v>
      </c>
      <c r="W40">
        <f t="shared" si="15"/>
        <v>0</v>
      </c>
    </row>
    <row r="41" spans="1:23" x14ac:dyDescent="0.25">
      <c r="A41" t="s">
        <v>77</v>
      </c>
      <c r="B41">
        <f>B$26*'01_Recursos'!$U$10</f>
        <v>5.3914423208112918</v>
      </c>
      <c r="C41">
        <f>C$26*'01_Recursos'!$U$10</f>
        <v>0.30205508707526207</v>
      </c>
      <c r="D41">
        <f>D$26*'01_Recursos'!$U$10</f>
        <v>7.5631626038591531</v>
      </c>
      <c r="E41">
        <f>E$26*'01_Recursos'!$U$10</f>
        <v>5.4065276068184538</v>
      </c>
      <c r="F41">
        <f>F$26*'01_Recursos'!$U$10</f>
        <v>3.9993582189581001</v>
      </c>
      <c r="G41">
        <f>G$26*'01_Recursos'!$U$10</f>
        <v>10.176501208138014</v>
      </c>
      <c r="H41">
        <f>H$26*'01_Recursos'!$U$10</f>
        <v>2.93946236911678</v>
      </c>
      <c r="I41">
        <f>I$26*'01_Recursos'!$U$10</f>
        <v>2.7598824115169762</v>
      </c>
      <c r="J41">
        <f>J$26*'01_Recursos'!$U$10</f>
        <v>15.130851531599101</v>
      </c>
      <c r="K41">
        <f>K$26*'01_Recursos'!$U$10</f>
        <v>6.3324748880880648</v>
      </c>
      <c r="L41">
        <f>L$26*'01_Recursos'!$U$10</f>
        <v>6.1517197735096874</v>
      </c>
      <c r="M41">
        <f>M$26*'01_Recursos'!$U$10</f>
        <v>27.70981355575325</v>
      </c>
      <c r="N41">
        <f>N$26*'01_Recursos'!$U$10</f>
        <v>0</v>
      </c>
      <c r="O41">
        <f>O$26*'01_Recursos'!$U$10</f>
        <v>0</v>
      </c>
      <c r="P41">
        <f>P$26*'01_Recursos'!$U$10</f>
        <v>0.31985419976277107</v>
      </c>
      <c r="Q41">
        <f>Q$26*'01_Recursos'!$U$10</f>
        <v>157.19878474442211</v>
      </c>
      <c r="R41">
        <f>R$26*'01_Recursos'!$U$10</f>
        <v>0</v>
      </c>
      <c r="S41">
        <f>S$26*'01_Recursos'!$U$10</f>
        <v>0</v>
      </c>
      <c r="T41">
        <f>T$26*'01_Recursos'!$U$10</f>
        <v>0</v>
      </c>
      <c r="U41">
        <f t="shared" si="14"/>
        <v>251.38189051942902</v>
      </c>
      <c r="V41">
        <f>'01_Recursos'!$U$10</f>
        <v>251.38189051942899</v>
      </c>
      <c r="W41">
        <f t="shared" si="15"/>
        <v>0</v>
      </c>
    </row>
    <row r="42" spans="1:23" x14ac:dyDescent="0.25">
      <c r="A42" t="s">
        <v>78</v>
      </c>
      <c r="B42">
        <f>B$27*'01_Recursos'!$U$11</f>
        <v>1.1034586358899434E-4</v>
      </c>
      <c r="C42">
        <f>C$27*'01_Recursos'!$U$11</f>
        <v>2.1477509890388487E-4</v>
      </c>
      <c r="D42">
        <f>D$27*'01_Recursos'!$U$11</f>
        <v>1.0209814294868376E-2</v>
      </c>
      <c r="E42">
        <f>E$27*'01_Recursos'!$U$11</f>
        <v>1.0910766079519827E-2</v>
      </c>
      <c r="F42">
        <f>F$27*'01_Recursos'!$U$11</f>
        <v>6.3664347665782503E-3</v>
      </c>
      <c r="G42">
        <f>G$27*'01_Recursos'!$U$11</f>
        <v>0.17368029605755483</v>
      </c>
      <c r="H42">
        <f>H$27*'01_Recursos'!$U$11</f>
        <v>2.1205765232546456E-2</v>
      </c>
      <c r="I42">
        <f>I$27*'01_Recursos'!$U$11</f>
        <v>1.187690394905464E-2</v>
      </c>
      <c r="J42">
        <f>J$27*'01_Recursos'!$U$11</f>
        <v>1.0630145136945952E-2</v>
      </c>
      <c r="K42">
        <f>K$27*'01_Recursos'!$U$11</f>
        <v>5.910884965356359E-3</v>
      </c>
      <c r="L42">
        <f>L$27*'01_Recursos'!$U$11</f>
        <v>8.9001719606891669E-2</v>
      </c>
      <c r="M42">
        <f>M$27*'01_Recursos'!$U$11</f>
        <v>2.4685120116088501E-2</v>
      </c>
      <c r="N42">
        <f>N$27*'01_Recursos'!$U$11</f>
        <v>0</v>
      </c>
      <c r="O42">
        <f>O$27*'01_Recursos'!$U$11</f>
        <v>1.8213851265531595E-3</v>
      </c>
      <c r="P42">
        <f>P$27*'01_Recursos'!$U$11</f>
        <v>0</v>
      </c>
      <c r="Q42">
        <f>Q$27*'01_Recursos'!$U$11</f>
        <v>1.7303247677404388</v>
      </c>
      <c r="R42">
        <f>R$27*'01_Recursos'!$U$11</f>
        <v>0</v>
      </c>
      <c r="S42">
        <f>S$27*'01_Recursos'!$U$11</f>
        <v>0</v>
      </c>
      <c r="T42">
        <f>T$27*'01_Recursos'!$U$11</f>
        <v>0</v>
      </c>
      <c r="U42">
        <f t="shared" si="14"/>
        <v>2.0969491240348894</v>
      </c>
      <c r="V42">
        <f>'01_Recursos'!$U$11</f>
        <v>2.0969491240348899</v>
      </c>
      <c r="W42">
        <f t="shared" si="15"/>
        <v>0</v>
      </c>
    </row>
    <row r="43" spans="1:23" x14ac:dyDescent="0.25">
      <c r="A43" t="s">
        <v>79</v>
      </c>
      <c r="B43">
        <f>B$28*'01_Recursos'!$U$12</f>
        <v>1.3569117672382027</v>
      </c>
      <c r="C43">
        <f>C$28*'01_Recursos'!$U$12</f>
        <v>0.40359483551748143</v>
      </c>
      <c r="D43">
        <f>D$28*'01_Recursos'!$U$12</f>
        <v>14.78019718030297</v>
      </c>
      <c r="E43">
        <f>E$28*'01_Recursos'!$U$12</f>
        <v>9.2212187129222905</v>
      </c>
      <c r="F43">
        <f>F$28*'01_Recursos'!$U$12</f>
        <v>5.7663283442724289</v>
      </c>
      <c r="G43">
        <f>G$28*'01_Recursos'!$U$12</f>
        <v>32.180718919302898</v>
      </c>
      <c r="H43">
        <f>H$28*'01_Recursos'!$U$12</f>
        <v>5.9430316479071328</v>
      </c>
      <c r="I43">
        <f>I$28*'01_Recursos'!$U$12</f>
        <v>10.904354704951336</v>
      </c>
      <c r="J43">
        <f>J$28*'01_Recursos'!$U$12</f>
        <v>8.4235277499056433</v>
      </c>
      <c r="K43">
        <f>K$28*'01_Recursos'!$U$12</f>
        <v>1.1212851285694565</v>
      </c>
      <c r="L43">
        <f>L$28*'01_Recursos'!$U$12</f>
        <v>29.106226223286384</v>
      </c>
      <c r="M43">
        <f>M$28*'01_Recursos'!$U$12</f>
        <v>51.355058778528971</v>
      </c>
      <c r="N43">
        <f>N$28*'01_Recursos'!$U$12</f>
        <v>0</v>
      </c>
      <c r="O43">
        <f>O$28*'01_Recursos'!$U$12</f>
        <v>6.8623203635012233</v>
      </c>
      <c r="P43">
        <f>P$28*'01_Recursos'!$U$12</f>
        <v>18.189039396671674</v>
      </c>
      <c r="Q43">
        <f>Q$28*'01_Recursos'!$U$12</f>
        <v>284.22917707109076</v>
      </c>
      <c r="R43">
        <f>R$28*'01_Recursos'!$U$12</f>
        <v>14.912540018589208</v>
      </c>
      <c r="S43">
        <f>S$28*'01_Recursos'!$U$12</f>
        <v>5.1133444463539739</v>
      </c>
      <c r="T43">
        <f>T$28*'01_Recursos'!$U$12</f>
        <v>0</v>
      </c>
      <c r="U43">
        <f t="shared" si="14"/>
        <v>499.86887528891197</v>
      </c>
      <c r="V43">
        <f>'01_Recursos'!$U$12</f>
        <v>499.86887528891202</v>
      </c>
      <c r="W43">
        <f t="shared" si="15"/>
        <v>0</v>
      </c>
    </row>
    <row r="44" spans="1:23" x14ac:dyDescent="0.25">
      <c r="A44" t="s">
        <v>80</v>
      </c>
      <c r="B44">
        <f>B$29*'01_Recursos'!$U$13</f>
        <v>0</v>
      </c>
      <c r="C44">
        <f>C$29*'01_Recursos'!$U$13</f>
        <v>0</v>
      </c>
      <c r="D44">
        <f>D$29*'01_Recursos'!$U$13</f>
        <v>0</v>
      </c>
      <c r="E44">
        <f>E$29*'01_Recursos'!$U$13</f>
        <v>0</v>
      </c>
      <c r="F44">
        <f>F$29*'01_Recursos'!$U$13</f>
        <v>0</v>
      </c>
      <c r="G44">
        <f>G$29*'01_Recursos'!$U$13</f>
        <v>0</v>
      </c>
      <c r="H44">
        <f>H$29*'01_Recursos'!$U$13</f>
        <v>0</v>
      </c>
      <c r="I44">
        <f>I$29*'01_Recursos'!$U$13</f>
        <v>0</v>
      </c>
      <c r="J44">
        <f>J$29*'01_Recursos'!$U$13</f>
        <v>0</v>
      </c>
      <c r="K44">
        <f>K$29*'01_Recursos'!$U$13</f>
        <v>0</v>
      </c>
      <c r="L44">
        <f>L$29*'01_Recursos'!$U$13</f>
        <v>0</v>
      </c>
      <c r="M44">
        <f>M$29*'01_Recursos'!$U$13</f>
        <v>0</v>
      </c>
      <c r="N44">
        <f>N$29*'01_Recursos'!$U$13</f>
        <v>0</v>
      </c>
      <c r="O44">
        <f>O$29*'01_Recursos'!$U$13</f>
        <v>0</v>
      </c>
      <c r="P44">
        <f>P$29*'01_Recursos'!$U$13</f>
        <v>0</v>
      </c>
      <c r="Q44">
        <f>Q$29*'01_Recursos'!$U$13</f>
        <v>0</v>
      </c>
      <c r="R44">
        <f>R$29*'01_Recursos'!$U$13</f>
        <v>0</v>
      </c>
      <c r="S44">
        <f>S$29*'01_Recursos'!$U$13</f>
        <v>0</v>
      </c>
      <c r="T44">
        <f>T$29*'01_Recursos'!$U$13</f>
        <v>0</v>
      </c>
      <c r="U44">
        <f t="shared" si="14"/>
        <v>0</v>
      </c>
      <c r="V44">
        <f>'01_Recursos'!$U$13</f>
        <v>0</v>
      </c>
      <c r="W44">
        <f t="shared" si="15"/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74"/>
  <sheetViews>
    <sheetView topLeftCell="A12" workbookViewId="0">
      <selection activeCell="B18" sqref="B18"/>
    </sheetView>
  </sheetViews>
  <sheetFormatPr defaultColWidth="11.42578125" defaultRowHeight="15" x14ac:dyDescent="0.25"/>
  <cols>
    <col min="1" max="1" width="44.7109375" customWidth="1"/>
    <col min="2" max="24" width="16.7109375" customWidth="1"/>
  </cols>
  <sheetData>
    <row r="1" spans="1:21" ht="15.75" x14ac:dyDescent="0.25">
      <c r="A1" s="1" t="s">
        <v>147</v>
      </c>
    </row>
    <row r="2" spans="1:21" ht="90" x14ac:dyDescent="0.25">
      <c r="A2" s="2" t="s">
        <v>131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92</v>
      </c>
      <c r="O2" s="2" t="s">
        <v>93</v>
      </c>
      <c r="P2" s="2" t="s">
        <v>95</v>
      </c>
      <c r="Q2" s="2" t="s">
        <v>96</v>
      </c>
      <c r="R2" s="2" t="s">
        <v>97</v>
      </c>
      <c r="S2" s="2" t="s">
        <v>98</v>
      </c>
      <c r="T2" s="2" t="s">
        <v>99</v>
      </c>
      <c r="U2" s="2" t="s">
        <v>132</v>
      </c>
    </row>
    <row r="3" spans="1:21" x14ac:dyDescent="0.25">
      <c r="A3" t="s">
        <v>69</v>
      </c>
      <c r="B3">
        <f>'02_Usos'!$B$2</f>
        <v>336.52786208779497</v>
      </c>
      <c r="C3">
        <f>'02_Usos'!$C$2</f>
        <v>1.1701408296572E-2</v>
      </c>
      <c r="D3">
        <f>'02_Usos'!$D$2</f>
        <v>1591.7223227582399</v>
      </c>
      <c r="E3">
        <f>'02_Usos'!$E$2</f>
        <v>0.26582576900311899</v>
      </c>
      <c r="F3">
        <f>'02_Usos'!$F$2</f>
        <v>9.9470537267168506</v>
      </c>
      <c r="G3">
        <f>'02_Usos'!$G$2</f>
        <v>63.9396149052954</v>
      </c>
      <c r="H3">
        <f>'02_Usos'!$H$2</f>
        <v>0</v>
      </c>
      <c r="I3">
        <f>'02_Usos'!$I$2</f>
        <v>0</v>
      </c>
      <c r="J3">
        <f>'02_Usos'!$J$2</f>
        <v>0</v>
      </c>
      <c r="K3">
        <f>'02_Usos'!$K$2</f>
        <v>0</v>
      </c>
      <c r="L3">
        <f>'02_Usos'!$L$2</f>
        <v>67.900903271681699</v>
      </c>
      <c r="M3">
        <f>'02_Usos'!$M$2</f>
        <v>45.176743069672597</v>
      </c>
      <c r="N3">
        <f>0</f>
        <v>0</v>
      </c>
      <c r="O3">
        <v>1269.61828126404</v>
      </c>
      <c r="P3">
        <f>'02_Usos'!$R$2</f>
        <v>1.2191883475752801</v>
      </c>
      <c r="Q3">
        <f>'02_Usos'!$S$2</f>
        <v>2973.5572391238602</v>
      </c>
      <c r="R3">
        <f>'02_Usos'!$T$2</f>
        <v>0</v>
      </c>
      <c r="S3">
        <f>'02_Usos'!$U$2</f>
        <v>167.61782749635799</v>
      </c>
      <c r="T3">
        <f>'02_Usos'!$V$2</f>
        <v>823.60671742873296</v>
      </c>
      <c r="U3">
        <f t="shared" ref="U3:U14" si="0">SUM(B3:T3)</f>
        <v>7351.1112806572664</v>
      </c>
    </row>
    <row r="4" spans="1:21" x14ac:dyDescent="0.25">
      <c r="A4" t="s">
        <v>70</v>
      </c>
      <c r="B4">
        <f>'02_Usos'!$B$3</f>
        <v>8.2404913965596105</v>
      </c>
      <c r="C4">
        <f>'02_Usos'!$C$3</f>
        <v>4.6488867134724297</v>
      </c>
      <c r="D4">
        <f>'02_Usos'!$D$3</f>
        <v>139.613544946948</v>
      </c>
      <c r="E4">
        <f>'02_Usos'!$E$3</f>
        <v>3.7427616028833</v>
      </c>
      <c r="F4">
        <f>'02_Usos'!$F$3</f>
        <v>94.724711481709306</v>
      </c>
      <c r="G4">
        <f>'02_Usos'!$G$3</f>
        <v>0.50844480848562801</v>
      </c>
      <c r="H4">
        <f>'02_Usos'!$H$3</f>
        <v>4.2845705373246203E-3</v>
      </c>
      <c r="I4">
        <f>'02_Usos'!$I$3</f>
        <v>0</v>
      </c>
      <c r="J4">
        <f>'02_Usos'!$J$3</f>
        <v>0</v>
      </c>
      <c r="K4">
        <f>'02_Usos'!$K$3</f>
        <v>5.5097788515392798</v>
      </c>
      <c r="L4">
        <f>'02_Usos'!$L$3</f>
        <v>0.38179759668732299</v>
      </c>
      <c r="M4">
        <f>'02_Usos'!$M$3</f>
        <v>1.88268242056318</v>
      </c>
      <c r="N4">
        <f>0</f>
        <v>0</v>
      </c>
      <c r="O4">
        <v>81.848675079307398</v>
      </c>
      <c r="P4">
        <f>'02_Usos'!$R$3</f>
        <v>0</v>
      </c>
      <c r="Q4">
        <f>'02_Usos'!$S$3</f>
        <v>0</v>
      </c>
      <c r="R4">
        <f>'02_Usos'!$T$3</f>
        <v>0</v>
      </c>
      <c r="S4">
        <f>'02_Usos'!$U$3</f>
        <v>0</v>
      </c>
      <c r="T4">
        <f>'02_Usos'!$V$3</f>
        <v>56.1934787102523</v>
      </c>
      <c r="U4">
        <f t="shared" si="0"/>
        <v>397.299538178945</v>
      </c>
    </row>
    <row r="5" spans="1:21" x14ac:dyDescent="0.25">
      <c r="A5" t="s">
        <v>71</v>
      </c>
      <c r="B5">
        <f>'02_Usos'!$B$4</f>
        <v>2378.5486898015802</v>
      </c>
      <c r="C5">
        <f>'02_Usos'!$C$4</f>
        <v>61.142098012972099</v>
      </c>
      <c r="D5">
        <f>'02_Usos'!$D$4</f>
        <v>3685.83646339912</v>
      </c>
      <c r="E5">
        <f>'02_Usos'!$E$4</f>
        <v>427.42519834221702</v>
      </c>
      <c r="F5">
        <f>'02_Usos'!$F$4</f>
        <v>2067.76786789262</v>
      </c>
      <c r="G5">
        <f>'02_Usos'!$G$4</f>
        <v>943.80323356858503</v>
      </c>
      <c r="H5">
        <f>'02_Usos'!$H$4</f>
        <v>788.92036297579898</v>
      </c>
      <c r="I5">
        <f>'02_Usos'!$I$4</f>
        <v>64.884883567173802</v>
      </c>
      <c r="J5">
        <f>'02_Usos'!$J$4</f>
        <v>32.678772119681803</v>
      </c>
      <c r="K5">
        <f>'02_Usos'!$K$4</f>
        <v>54.5654361069858</v>
      </c>
      <c r="L5">
        <f>'02_Usos'!$L$4</f>
        <v>1245.99194478904</v>
      </c>
      <c r="M5">
        <f>'02_Usos'!$M$4</f>
        <v>994.02563356996495</v>
      </c>
      <c r="N5">
        <f>0</f>
        <v>0</v>
      </c>
      <c r="O5">
        <v>5170.1451374799999</v>
      </c>
      <c r="P5">
        <f>'02_Usos'!$R$4</f>
        <v>114.718215444213</v>
      </c>
      <c r="Q5">
        <f>'02_Usos'!$S$4</f>
        <v>23647.9173696746</v>
      </c>
      <c r="R5">
        <f>'02_Usos'!$T$4</f>
        <v>0</v>
      </c>
      <c r="S5">
        <f>'02_Usos'!$U$4</f>
        <v>2369.6668666956102</v>
      </c>
      <c r="T5">
        <f>'02_Usos'!$V$4</f>
        <v>2196.60479375472</v>
      </c>
      <c r="U5">
        <f t="shared" si="0"/>
        <v>46244.642967194886</v>
      </c>
    </row>
    <row r="6" spans="1:21" x14ac:dyDescent="0.25">
      <c r="A6" t="s">
        <v>72</v>
      </c>
      <c r="B6">
        <f>'02_Usos'!$B$5</f>
        <v>154.809366555791</v>
      </c>
      <c r="C6">
        <f>'02_Usos'!$C$5</f>
        <v>7.90090801956591</v>
      </c>
      <c r="D6">
        <f>'02_Usos'!$D$5</f>
        <v>136.96591306237801</v>
      </c>
      <c r="E6">
        <f>'02_Usos'!$E$5</f>
        <v>1480.31032106818</v>
      </c>
      <c r="F6">
        <f>'02_Usos'!$F$5</f>
        <v>11.009585069440501</v>
      </c>
      <c r="G6">
        <f>'02_Usos'!$G$5</f>
        <v>255.58089371484701</v>
      </c>
      <c r="H6">
        <f>'02_Usos'!$H$5</f>
        <v>26.111448652576598</v>
      </c>
      <c r="I6">
        <f>'02_Usos'!$I$5</f>
        <v>21.7408198111474</v>
      </c>
      <c r="J6">
        <f>'02_Usos'!$J$5</f>
        <v>12.939322968687</v>
      </c>
      <c r="K6">
        <f>'02_Usos'!$K$5</f>
        <v>7.1191336024782901</v>
      </c>
      <c r="L6">
        <f>'02_Usos'!$L$5</f>
        <v>216.795454781638</v>
      </c>
      <c r="M6">
        <f>'02_Usos'!$M$5</f>
        <v>382.08586875998299</v>
      </c>
      <c r="N6">
        <f>0</f>
        <v>0</v>
      </c>
      <c r="O6">
        <v>613.90951930323195</v>
      </c>
      <c r="P6">
        <f>'02_Usos'!$R$5</f>
        <v>0</v>
      </c>
      <c r="Q6">
        <f>'02_Usos'!$S$5</f>
        <v>1221.0253289923301</v>
      </c>
      <c r="R6">
        <f>'02_Usos'!$T$5</f>
        <v>0</v>
      </c>
      <c r="S6">
        <f>'02_Usos'!$U$5</f>
        <v>0</v>
      </c>
      <c r="T6">
        <f>'02_Usos'!$V$5</f>
        <v>1.6716120161960799</v>
      </c>
      <c r="U6">
        <f t="shared" si="0"/>
        <v>4549.9754963784708</v>
      </c>
    </row>
    <row r="7" spans="1:21" x14ac:dyDescent="0.25">
      <c r="A7" t="s">
        <v>73</v>
      </c>
      <c r="B7">
        <f>'02_Usos'!$B$6</f>
        <v>3.8224894700507401</v>
      </c>
      <c r="C7">
        <f>'02_Usos'!$C$6</f>
        <v>1.37870858359182E-2</v>
      </c>
      <c r="D7">
        <f>'02_Usos'!$D$6</f>
        <v>2.2642450320687599</v>
      </c>
      <c r="E7">
        <f>'02_Usos'!$E$6</f>
        <v>79.022219936396397</v>
      </c>
      <c r="F7">
        <f>'02_Usos'!$F$6</f>
        <v>705.14022689724504</v>
      </c>
      <c r="G7">
        <f>'02_Usos'!$G$6</f>
        <v>11.1773027672429</v>
      </c>
      <c r="H7">
        <f>'02_Usos'!$H$6</f>
        <v>8.35128226357015</v>
      </c>
      <c r="I7">
        <f>'02_Usos'!$I$6</f>
        <v>33.955800793082702</v>
      </c>
      <c r="J7">
        <f>'02_Usos'!$J$6</f>
        <v>4.90871633923574</v>
      </c>
      <c r="K7">
        <f>'02_Usos'!$K$6</f>
        <v>10.536413625734101</v>
      </c>
      <c r="L7">
        <f>'02_Usos'!$L$6</f>
        <v>24.8511412899181</v>
      </c>
      <c r="M7">
        <f>'02_Usos'!$M$6</f>
        <v>362.99378963273199</v>
      </c>
      <c r="N7">
        <f>0</f>
        <v>0</v>
      </c>
      <c r="O7">
        <v>0</v>
      </c>
      <c r="P7">
        <f>'02_Usos'!$R$6</f>
        <v>0</v>
      </c>
      <c r="Q7">
        <f>'02_Usos'!$S$6</f>
        <v>0</v>
      </c>
      <c r="R7">
        <f>'02_Usos'!$T$6</f>
        <v>0</v>
      </c>
      <c r="S7">
        <f>'02_Usos'!$U$6</f>
        <v>4868.1849257329804</v>
      </c>
      <c r="T7">
        <f>'02_Usos'!$V$6</f>
        <v>0</v>
      </c>
      <c r="U7">
        <f t="shared" si="0"/>
        <v>6115.222340866093</v>
      </c>
    </row>
    <row r="8" spans="1:21" x14ac:dyDescent="0.25">
      <c r="A8" t="s">
        <v>74</v>
      </c>
      <c r="B8">
        <f>'02_Usos'!$B$7</f>
        <v>4.0645390550857901</v>
      </c>
      <c r="C8">
        <f>'02_Usos'!$C$7</f>
        <v>0.19920343047224801</v>
      </c>
      <c r="D8">
        <f>'02_Usos'!$D$7</f>
        <v>78.202411974315197</v>
      </c>
      <c r="E8">
        <f>'02_Usos'!$E$7</f>
        <v>12.2186878263197</v>
      </c>
      <c r="F8">
        <f>'02_Usos'!$F$7</f>
        <v>5.2675481991244197</v>
      </c>
      <c r="G8">
        <f>'02_Usos'!$G$7</f>
        <v>70.4502463916713</v>
      </c>
      <c r="H8">
        <f>'02_Usos'!$H$7</f>
        <v>46.636503993822302</v>
      </c>
      <c r="I8">
        <f>'02_Usos'!$I$7</f>
        <v>23.572887513037099</v>
      </c>
      <c r="J8">
        <f>'02_Usos'!$J$7</f>
        <v>0.47196287636393303</v>
      </c>
      <c r="K8">
        <f>'02_Usos'!$K$7</f>
        <v>0.125092000758671</v>
      </c>
      <c r="L8">
        <f>'02_Usos'!$L$7</f>
        <v>12.265165493107601</v>
      </c>
      <c r="M8">
        <f>'02_Usos'!$M$7</f>
        <v>53.081126598793901</v>
      </c>
      <c r="N8">
        <f>0</f>
        <v>0</v>
      </c>
      <c r="O8">
        <v>0</v>
      </c>
      <c r="P8">
        <f>'02_Usos'!$R$7</f>
        <v>0</v>
      </c>
      <c r="Q8">
        <f>'02_Usos'!$S$7</f>
        <v>483.65278185428701</v>
      </c>
      <c r="R8">
        <f>'02_Usos'!$T$7</f>
        <v>0</v>
      </c>
      <c r="S8">
        <f>'02_Usos'!$U$7</f>
        <v>0</v>
      </c>
      <c r="T8">
        <f>'02_Usos'!$V$7</f>
        <v>0</v>
      </c>
      <c r="U8">
        <f t="shared" si="0"/>
        <v>790.20815720715916</v>
      </c>
    </row>
    <row r="9" spans="1:21" x14ac:dyDescent="0.25">
      <c r="A9" t="s">
        <v>75</v>
      </c>
      <c r="B9">
        <f>'02_Usos'!$B$8</f>
        <v>112.141697401282</v>
      </c>
      <c r="C9">
        <f>'02_Usos'!$C$8</f>
        <v>6.2334089637218604</v>
      </c>
      <c r="D9">
        <f>'02_Usos'!$D$8</f>
        <v>405.32122266080302</v>
      </c>
      <c r="E9">
        <f>'02_Usos'!$E$8</f>
        <v>22.468710014106598</v>
      </c>
      <c r="F9">
        <f>'02_Usos'!$F$8</f>
        <v>35.013467060950397</v>
      </c>
      <c r="G9">
        <f>'02_Usos'!$G$8</f>
        <v>475.61402259142699</v>
      </c>
      <c r="H9">
        <f>'02_Usos'!$H$8</f>
        <v>304.93612906100498</v>
      </c>
      <c r="I9">
        <f>'02_Usos'!$I$8</f>
        <v>11.000164689110401</v>
      </c>
      <c r="J9">
        <f>'02_Usos'!$J$8</f>
        <v>27.967707167177601</v>
      </c>
      <c r="K9">
        <f>'02_Usos'!$K$8</f>
        <v>1.89571896949818</v>
      </c>
      <c r="L9">
        <f>'02_Usos'!$L$8</f>
        <v>133.12582008821499</v>
      </c>
      <c r="M9">
        <f>'02_Usos'!$M$8</f>
        <v>205.00274571753499</v>
      </c>
      <c r="N9">
        <f>0</f>
        <v>0</v>
      </c>
      <c r="O9">
        <v>0</v>
      </c>
      <c r="P9">
        <f>'02_Usos'!$R$8</f>
        <v>0</v>
      </c>
      <c r="Q9">
        <f>'02_Usos'!$S$8</f>
        <v>1177.53971521121</v>
      </c>
      <c r="R9">
        <f>'02_Usos'!$T$8</f>
        <v>0</v>
      </c>
      <c r="S9">
        <f>'02_Usos'!$U$8</f>
        <v>0</v>
      </c>
      <c r="T9">
        <f>'02_Usos'!$V$8</f>
        <v>0</v>
      </c>
      <c r="U9">
        <f t="shared" si="0"/>
        <v>2918.260529596042</v>
      </c>
    </row>
    <row r="10" spans="1:21" x14ac:dyDescent="0.25">
      <c r="A10" t="s">
        <v>76</v>
      </c>
      <c r="B10">
        <f>'02_Usos'!$B$9</f>
        <v>0.61710296671491105</v>
      </c>
      <c r="C10">
        <f>'02_Usos'!$C$9</f>
        <v>0.22864688595515301</v>
      </c>
      <c r="D10">
        <f>'02_Usos'!$D$9</f>
        <v>48.776090369683601</v>
      </c>
      <c r="E10">
        <f>'02_Usos'!$E$9</f>
        <v>41.137019475786303</v>
      </c>
      <c r="F10">
        <f>'02_Usos'!$F$9</f>
        <v>16.744160541878902</v>
      </c>
      <c r="G10">
        <f>'02_Usos'!$G$9</f>
        <v>154.23642369179601</v>
      </c>
      <c r="H10">
        <f>'02_Usos'!$H$9</f>
        <v>31.785982494555501</v>
      </c>
      <c r="I10">
        <f>'02_Usos'!$I$9</f>
        <v>261.46493528264301</v>
      </c>
      <c r="J10">
        <f>'02_Usos'!$J$9</f>
        <v>105.334870012037</v>
      </c>
      <c r="K10">
        <f>'02_Usos'!$K$9</f>
        <v>5.9821948507348601</v>
      </c>
      <c r="L10">
        <f>'02_Usos'!$L$9</f>
        <v>204.745248382743</v>
      </c>
      <c r="M10">
        <f>'02_Usos'!$M$9</f>
        <v>399.41456080928702</v>
      </c>
      <c r="N10">
        <f>0</f>
        <v>0</v>
      </c>
      <c r="O10">
        <v>26.678261132863199</v>
      </c>
      <c r="P10">
        <f>'02_Usos'!$R$9</f>
        <v>0</v>
      </c>
      <c r="Q10">
        <f>'02_Usos'!$S$9</f>
        <v>824.84629881757905</v>
      </c>
      <c r="R10">
        <f>'02_Usos'!$T$9</f>
        <v>0</v>
      </c>
      <c r="S10">
        <f>'02_Usos'!$U$9</f>
        <v>110.23355285272</v>
      </c>
      <c r="T10">
        <f>'02_Usos'!$V$9</f>
        <v>-0.45588277204264499</v>
      </c>
      <c r="U10">
        <f t="shared" si="0"/>
        <v>2231.7694657949351</v>
      </c>
    </row>
    <row r="11" spans="1:21" x14ac:dyDescent="0.25">
      <c r="A11" t="s">
        <v>77</v>
      </c>
      <c r="B11">
        <f>'02_Usos'!$B$10</f>
        <v>130.45602910459701</v>
      </c>
      <c r="C11">
        <f>'02_Usos'!$C$10</f>
        <v>7.3087876835066297</v>
      </c>
      <c r="D11">
        <f>'02_Usos'!$D$10</f>
        <v>183.00486253247701</v>
      </c>
      <c r="E11">
        <f>'02_Usos'!$E$10</f>
        <v>130.82104580946</v>
      </c>
      <c r="F11">
        <f>'02_Usos'!$F$10</f>
        <v>96.771951022856697</v>
      </c>
      <c r="G11">
        <f>'02_Usos'!$G$10</f>
        <v>246.23947708153301</v>
      </c>
      <c r="H11">
        <f>'02_Usos'!$H$10</f>
        <v>71.125788900151406</v>
      </c>
      <c r="I11">
        <f>'02_Usos'!$I$10</f>
        <v>66.780516006326394</v>
      </c>
      <c r="J11">
        <f>'02_Usos'!$J$10</f>
        <v>366.11924793560598</v>
      </c>
      <c r="K11">
        <f>'02_Usos'!$K$10</f>
        <v>153.22607182788801</v>
      </c>
      <c r="L11">
        <f>'02_Usos'!$L$10</f>
        <v>148.85236381338899</v>
      </c>
      <c r="M11">
        <f>'02_Usos'!$M$10</f>
        <v>670.49075713163495</v>
      </c>
      <c r="N11">
        <f>0</f>
        <v>0</v>
      </c>
      <c r="O11">
        <v>0</v>
      </c>
      <c r="P11">
        <f>'02_Usos'!$R$10</f>
        <v>7.7394704998347601</v>
      </c>
      <c r="Q11">
        <f>'02_Usos'!$S$10</f>
        <v>3803.7185631505899</v>
      </c>
      <c r="R11">
        <f>'02_Usos'!$T$10</f>
        <v>0</v>
      </c>
      <c r="S11">
        <f>'02_Usos'!$U$10</f>
        <v>0</v>
      </c>
      <c r="T11">
        <f>'02_Usos'!$V$10</f>
        <v>0</v>
      </c>
      <c r="U11">
        <f t="shared" si="0"/>
        <v>6082.6549324998505</v>
      </c>
    </row>
    <row r="12" spans="1:21" x14ac:dyDescent="0.25">
      <c r="A12" t="s">
        <v>78</v>
      </c>
      <c r="B12">
        <f>'02_Usos'!$B$11</f>
        <v>0.235033528815382</v>
      </c>
      <c r="C12">
        <f>'02_Usos'!$C$11</f>
        <v>0.45746480887650998</v>
      </c>
      <c r="D12">
        <f>'02_Usos'!$D$11</f>
        <v>21.746612009043002</v>
      </c>
      <c r="E12">
        <f>'02_Usos'!$E$11</f>
        <v>23.239619233035601</v>
      </c>
      <c r="F12">
        <f>'02_Usos'!$F$11</f>
        <v>13.5603236994473</v>
      </c>
      <c r="G12">
        <f>'02_Usos'!$G$11</f>
        <v>369.934055889511</v>
      </c>
      <c r="H12">
        <f>'02_Usos'!$H$11</f>
        <v>45.167672550011503</v>
      </c>
      <c r="I12">
        <f>'02_Usos'!$I$11</f>
        <v>25.297465222122501</v>
      </c>
      <c r="J12">
        <f>'02_Usos'!$J$11</f>
        <v>22.641904663160101</v>
      </c>
      <c r="K12">
        <f>'02_Usos'!$K$11</f>
        <v>12.5900156711271</v>
      </c>
      <c r="L12">
        <f>'02_Usos'!$L$11</f>
        <v>189.571113492389</v>
      </c>
      <c r="M12">
        <f>'02_Usos'!$M$11</f>
        <v>52.578598793027297</v>
      </c>
      <c r="N12">
        <f>0</f>
        <v>0</v>
      </c>
      <c r="O12">
        <v>3.8794981497461101</v>
      </c>
      <c r="P12">
        <f>'02_Usos'!$R$11</f>
        <v>0</v>
      </c>
      <c r="Q12">
        <f>'02_Usos'!$S$11</f>
        <v>3685.5421937107699</v>
      </c>
      <c r="R12">
        <f>'02_Usos'!$T$11</f>
        <v>0</v>
      </c>
      <c r="S12">
        <f>'02_Usos'!$U$11</f>
        <v>0</v>
      </c>
      <c r="T12">
        <f>'02_Usos'!$V$11</f>
        <v>0</v>
      </c>
      <c r="U12">
        <f t="shared" si="0"/>
        <v>4466.4415714210827</v>
      </c>
    </row>
    <row r="13" spans="1:21" x14ac:dyDescent="0.25">
      <c r="A13" t="s">
        <v>79</v>
      </c>
      <c r="B13">
        <f>'02_Usos'!$B$12</f>
        <v>42.118355261147798</v>
      </c>
      <c r="C13">
        <f>'02_Usos'!$C$12</f>
        <v>12.5275283731147</v>
      </c>
      <c r="D13">
        <f>'02_Usos'!$D$12</f>
        <v>458.775294532864</v>
      </c>
      <c r="E13">
        <f>'02_Usos'!$E$12</f>
        <v>286.225364882863</v>
      </c>
      <c r="F13">
        <f>'02_Usos'!$F$12</f>
        <v>178.98604140696301</v>
      </c>
      <c r="G13">
        <f>'02_Usos'!$G$12</f>
        <v>998.88510419587396</v>
      </c>
      <c r="H13">
        <f>'02_Usos'!$H$12</f>
        <v>184.47088773079801</v>
      </c>
      <c r="I13">
        <f>'02_Usos'!$I$12</f>
        <v>338.46967536547601</v>
      </c>
      <c r="J13">
        <f>'02_Usos'!$J$12</f>
        <v>261.46514673152001</v>
      </c>
      <c r="K13">
        <f>'02_Usos'!$K$12</f>
        <v>34.804536694565797</v>
      </c>
      <c r="L13">
        <f>'02_Usos'!$L$12</f>
        <v>903.45327233683497</v>
      </c>
      <c r="M13">
        <f>'02_Usos'!$M$12</f>
        <v>1594.0539851707999</v>
      </c>
      <c r="N13">
        <f>0</f>
        <v>0</v>
      </c>
      <c r="O13">
        <v>213.005483454559</v>
      </c>
      <c r="P13">
        <f>'02_Usos'!$R$12</f>
        <v>564.58528967384598</v>
      </c>
      <c r="Q13">
        <f>'02_Usos'!$S$12</f>
        <v>8822.4346965681198</v>
      </c>
      <c r="R13">
        <f>'02_Usos'!$T$12</f>
        <v>462.88319809283797</v>
      </c>
      <c r="S13">
        <f>'02_Usos'!$U$12</f>
        <v>158.717510721054</v>
      </c>
      <c r="T13">
        <f>'02_Usos'!$V$12</f>
        <v>0</v>
      </c>
      <c r="U13">
        <f t="shared" si="0"/>
        <v>15515.861371193238</v>
      </c>
    </row>
    <row r="14" spans="1:21" x14ac:dyDescent="0.25">
      <c r="A14" t="s">
        <v>80</v>
      </c>
      <c r="B14">
        <f>'02_Usos'!$B$13</f>
        <v>0</v>
      </c>
      <c r="C14">
        <f>'02_Usos'!$C$13</f>
        <v>0</v>
      </c>
      <c r="D14">
        <f>'02_Usos'!$D$13</f>
        <v>0</v>
      </c>
      <c r="E14">
        <f>'02_Usos'!$E$13</f>
        <v>0</v>
      </c>
      <c r="F14">
        <f>'02_Usos'!$F$13</f>
        <v>0</v>
      </c>
      <c r="G14">
        <f>'02_Usos'!$G$13</f>
        <v>0</v>
      </c>
      <c r="H14">
        <f>'02_Usos'!$H$13</f>
        <v>0</v>
      </c>
      <c r="I14">
        <f>'02_Usos'!$I$13</f>
        <v>0</v>
      </c>
      <c r="J14">
        <f>'02_Usos'!$J$13</f>
        <v>0</v>
      </c>
      <c r="K14">
        <f>'02_Usos'!$K$13</f>
        <v>0</v>
      </c>
      <c r="L14">
        <f>'02_Usos'!$L$13</f>
        <v>0</v>
      </c>
      <c r="M14">
        <f>'02_Usos'!$M$13</f>
        <v>0</v>
      </c>
      <c r="N14">
        <f>0</f>
        <v>0</v>
      </c>
      <c r="O14">
        <v>0</v>
      </c>
      <c r="P14">
        <f>'02_Usos'!$R$13</f>
        <v>19737.216629487699</v>
      </c>
      <c r="Q14">
        <f>'02_Usos'!$S$13</f>
        <v>0</v>
      </c>
      <c r="R14">
        <f>'02_Usos'!$T$13</f>
        <v>0</v>
      </c>
      <c r="S14">
        <f>'02_Usos'!$U$13</f>
        <v>0</v>
      </c>
      <c r="T14">
        <f>'02_Usos'!$V$13</f>
        <v>0</v>
      </c>
      <c r="U14">
        <f t="shared" si="0"/>
        <v>19737.216629487699</v>
      </c>
    </row>
    <row r="16" spans="1:21" ht="15.75" x14ac:dyDescent="0.25">
      <c r="A16" s="1" t="s">
        <v>148</v>
      </c>
    </row>
    <row r="17" spans="1:21" ht="90" x14ac:dyDescent="0.25">
      <c r="A17" s="2" t="s">
        <v>131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73</v>
      </c>
      <c r="G17" s="2" t="s">
        <v>74</v>
      </c>
      <c r="H17" s="2" t="s">
        <v>75</v>
      </c>
      <c r="I17" s="2" t="s">
        <v>76</v>
      </c>
      <c r="J17" s="2" t="s">
        <v>77</v>
      </c>
      <c r="K17" s="2" t="s">
        <v>78</v>
      </c>
      <c r="L17" s="2" t="s">
        <v>79</v>
      </c>
      <c r="M17" s="2" t="s">
        <v>80</v>
      </c>
      <c r="N17" s="2" t="s">
        <v>92</v>
      </c>
      <c r="O17" s="2" t="s">
        <v>93</v>
      </c>
      <c r="P17" s="2" t="s">
        <v>95</v>
      </c>
      <c r="Q17" s="2" t="s">
        <v>96</v>
      </c>
      <c r="R17" s="2" t="s">
        <v>97</v>
      </c>
      <c r="S17" s="2" t="s">
        <v>98</v>
      </c>
      <c r="T17" s="2" t="s">
        <v>99</v>
      </c>
      <c r="U17" s="2" t="s">
        <v>134</v>
      </c>
    </row>
    <row r="18" spans="1:21" x14ac:dyDescent="0.25">
      <c r="A18" t="s">
        <v>69</v>
      </c>
      <c r="B18">
        <f t="shared" ref="B18:T18" si="1">IF($U$3=0,0,B$3/$U$3)</f>
        <v>4.5779182118122673E-2</v>
      </c>
      <c r="C18">
        <f t="shared" si="1"/>
        <v>1.5917876698944179E-6</v>
      </c>
      <c r="D18">
        <f t="shared" si="1"/>
        <v>0.21652812234613911</v>
      </c>
      <c r="E18">
        <f t="shared" si="1"/>
        <v>3.6161303897354602E-5</v>
      </c>
      <c r="F18">
        <f t="shared" si="1"/>
        <v>1.3531360561620392E-3</v>
      </c>
      <c r="G18">
        <f t="shared" si="1"/>
        <v>8.6979522502315491E-3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  <c r="L18">
        <f t="shared" si="1"/>
        <v>9.2368215742219921E-3</v>
      </c>
      <c r="M18">
        <f t="shared" si="1"/>
        <v>6.1455664789818445E-3</v>
      </c>
      <c r="N18">
        <f t="shared" si="1"/>
        <v>0</v>
      </c>
      <c r="O18">
        <f t="shared" si="1"/>
        <v>0.17271106813533679</v>
      </c>
      <c r="P18">
        <f t="shared" si="1"/>
        <v>1.6585088988970819E-4</v>
      </c>
      <c r="Q18">
        <f t="shared" si="1"/>
        <v>0.4045044518572426</v>
      </c>
      <c r="R18">
        <f t="shared" si="1"/>
        <v>0</v>
      </c>
      <c r="S18">
        <f t="shared" si="1"/>
        <v>2.2801699103291388E-2</v>
      </c>
      <c r="T18">
        <f t="shared" si="1"/>
        <v>0.11203839609881322</v>
      </c>
      <c r="U18">
        <f t="shared" ref="U18:U29" si="2">SUM(B18:T18)</f>
        <v>1.0000000000000002</v>
      </c>
    </row>
    <row r="19" spans="1:21" x14ac:dyDescent="0.25">
      <c r="A19" t="s">
        <v>70</v>
      </c>
      <c r="B19">
        <f t="shared" ref="B19:T19" si="3">IF($U$4=0,0,B$4/$U$4)</f>
        <v>2.0741255915701737E-2</v>
      </c>
      <c r="C19">
        <f t="shared" si="3"/>
        <v>1.1701213484367444E-2</v>
      </c>
      <c r="D19">
        <f t="shared" si="3"/>
        <v>0.35140626034170119</v>
      </c>
      <c r="E19">
        <f t="shared" si="3"/>
        <v>9.4205032808206985E-3</v>
      </c>
      <c r="F19">
        <f t="shared" si="3"/>
        <v>0.23842139841361956</v>
      </c>
      <c r="G19">
        <f t="shared" si="3"/>
        <v>1.27975182356397E-3</v>
      </c>
      <c r="H19">
        <f t="shared" si="3"/>
        <v>1.0784232362723855E-5</v>
      </c>
      <c r="I19">
        <f t="shared" si="3"/>
        <v>0</v>
      </c>
      <c r="J19">
        <f t="shared" si="3"/>
        <v>0</v>
      </c>
      <c r="K19">
        <f t="shared" si="3"/>
        <v>1.3868072630524069E-2</v>
      </c>
      <c r="L19">
        <f t="shared" si="3"/>
        <v>9.6098172788552331E-4</v>
      </c>
      <c r="M19">
        <f t="shared" si="3"/>
        <v>4.7386977321761036E-3</v>
      </c>
      <c r="N19">
        <f t="shared" si="3"/>
        <v>0</v>
      </c>
      <c r="O19">
        <f t="shared" si="3"/>
        <v>0.20601250999300807</v>
      </c>
      <c r="P19">
        <f t="shared" si="3"/>
        <v>0</v>
      </c>
      <c r="Q19">
        <f t="shared" si="3"/>
        <v>0</v>
      </c>
      <c r="R19">
        <f t="shared" si="3"/>
        <v>0</v>
      </c>
      <c r="S19">
        <f t="shared" si="3"/>
        <v>0</v>
      </c>
      <c r="T19">
        <f t="shared" si="3"/>
        <v>0.14143857042426911</v>
      </c>
      <c r="U19">
        <f t="shared" si="2"/>
        <v>1</v>
      </c>
    </row>
    <row r="20" spans="1:21" x14ac:dyDescent="0.25">
      <c r="A20" t="s">
        <v>71</v>
      </c>
      <c r="B20">
        <f t="shared" ref="B20:T20" si="4">IF($U$5=0,0,B$5/$U$5)</f>
        <v>5.1434037267600478E-2</v>
      </c>
      <c r="C20">
        <f t="shared" si="4"/>
        <v>1.3221444493872554E-3</v>
      </c>
      <c r="D20">
        <f t="shared" si="4"/>
        <v>7.9702993188071225E-2</v>
      </c>
      <c r="E20">
        <f t="shared" si="4"/>
        <v>9.2426964707117473E-3</v>
      </c>
      <c r="F20">
        <f t="shared" si="4"/>
        <v>4.471367352450871E-2</v>
      </c>
      <c r="G20">
        <f t="shared" si="4"/>
        <v>2.0408920320524521E-2</v>
      </c>
      <c r="H20">
        <f t="shared" si="4"/>
        <v>1.7059713565859828E-2</v>
      </c>
      <c r="I20">
        <f t="shared" si="4"/>
        <v>1.4030789169072397E-3</v>
      </c>
      <c r="J20">
        <f t="shared" si="4"/>
        <v>7.0664989548872793E-4</v>
      </c>
      <c r="K20">
        <f t="shared" si="4"/>
        <v>1.1799298817312426E-3</v>
      </c>
      <c r="L20">
        <f t="shared" si="4"/>
        <v>2.6943487176945537E-2</v>
      </c>
      <c r="M20">
        <f t="shared" si="4"/>
        <v>2.1494935841003437E-2</v>
      </c>
      <c r="N20">
        <f t="shared" si="4"/>
        <v>0</v>
      </c>
      <c r="O20">
        <f t="shared" si="4"/>
        <v>0.11179987141748737</v>
      </c>
      <c r="P20">
        <f t="shared" si="4"/>
        <v>2.48068117912797E-3</v>
      </c>
      <c r="Q20">
        <f t="shared" si="4"/>
        <v>0.51136555182078069</v>
      </c>
      <c r="R20">
        <f t="shared" si="4"/>
        <v>0</v>
      </c>
      <c r="S20">
        <f t="shared" si="4"/>
        <v>5.1241975603025181E-2</v>
      </c>
      <c r="T20">
        <f t="shared" si="4"/>
        <v>4.7499659480838716E-2</v>
      </c>
      <c r="U20">
        <f t="shared" si="2"/>
        <v>0.99999999999999989</v>
      </c>
    </row>
    <row r="21" spans="1:21" x14ac:dyDescent="0.25">
      <c r="A21" t="s">
        <v>72</v>
      </c>
      <c r="B21">
        <f t="shared" ref="B21:T21" si="5">IF($U$6=0,0,B$6/$U$6)</f>
        <v>3.402421984008721E-2</v>
      </c>
      <c r="C21">
        <f t="shared" si="5"/>
        <v>1.7364726526229858E-3</v>
      </c>
      <c r="D21">
        <f t="shared" si="5"/>
        <v>3.0102560589918628E-2</v>
      </c>
      <c r="E21">
        <f t="shared" si="5"/>
        <v>0.3253446798222156</v>
      </c>
      <c r="F21">
        <f t="shared" si="5"/>
        <v>2.4197020573415227E-3</v>
      </c>
      <c r="G21">
        <f t="shared" si="5"/>
        <v>5.6171927501208585E-2</v>
      </c>
      <c r="H21">
        <f t="shared" si="5"/>
        <v>5.738810829500042E-3</v>
      </c>
      <c r="I21">
        <f t="shared" si="5"/>
        <v>4.7782278890187192E-3</v>
      </c>
      <c r="J21">
        <f t="shared" si="5"/>
        <v>2.8438225610195014E-3</v>
      </c>
      <c r="K21">
        <f t="shared" si="5"/>
        <v>1.5646531740983499E-3</v>
      </c>
      <c r="L21">
        <f t="shared" si="5"/>
        <v>4.7647609301235842E-2</v>
      </c>
      <c r="M21">
        <f t="shared" si="5"/>
        <v>8.3975368452885571E-2</v>
      </c>
      <c r="N21">
        <f t="shared" si="5"/>
        <v>0</v>
      </c>
      <c r="O21">
        <f t="shared" si="5"/>
        <v>0.1349258957090802</v>
      </c>
      <c r="P21">
        <f t="shared" si="5"/>
        <v>0</v>
      </c>
      <c r="Q21">
        <f t="shared" si="5"/>
        <v>0.26835866038491829</v>
      </c>
      <c r="R21">
        <f t="shared" si="5"/>
        <v>0</v>
      </c>
      <c r="S21">
        <f t="shared" si="5"/>
        <v>0</v>
      </c>
      <c r="T21">
        <f t="shared" si="5"/>
        <v>3.6738923484897683E-4</v>
      </c>
      <c r="U21">
        <f t="shared" si="2"/>
        <v>1</v>
      </c>
    </row>
    <row r="22" spans="1:21" x14ac:dyDescent="0.25">
      <c r="A22" t="s">
        <v>73</v>
      </c>
      <c r="B22">
        <f t="shared" ref="B22:T22" si="6">IF($U$7=0,0,B$7/$U$7)</f>
        <v>6.2507775792651954E-4</v>
      </c>
      <c r="C22">
        <f t="shared" si="6"/>
        <v>2.2545518490445515E-6</v>
      </c>
      <c r="D22">
        <f t="shared" si="6"/>
        <v>3.7026372973187385E-4</v>
      </c>
      <c r="E22">
        <f t="shared" si="6"/>
        <v>1.2922215339304335E-2</v>
      </c>
      <c r="F22">
        <f t="shared" si="6"/>
        <v>0.11530900882949363</v>
      </c>
      <c r="G22">
        <f t="shared" si="6"/>
        <v>1.8277835447696688E-3</v>
      </c>
      <c r="H22">
        <f t="shared" si="6"/>
        <v>1.365654721621678E-3</v>
      </c>
      <c r="I22">
        <f t="shared" si="6"/>
        <v>5.5526682269860976E-3</v>
      </c>
      <c r="J22">
        <f t="shared" si="6"/>
        <v>8.0270447509853311E-4</v>
      </c>
      <c r="K22">
        <f t="shared" si="6"/>
        <v>1.7229812815345385E-3</v>
      </c>
      <c r="L22">
        <f t="shared" si="6"/>
        <v>4.0638164738256198E-3</v>
      </c>
      <c r="M22">
        <f t="shared" si="6"/>
        <v>5.9359050153738407E-2</v>
      </c>
      <c r="N22">
        <f t="shared" si="6"/>
        <v>0</v>
      </c>
      <c r="O22">
        <f t="shared" si="6"/>
        <v>0</v>
      </c>
      <c r="P22">
        <f t="shared" si="6"/>
        <v>0</v>
      </c>
      <c r="Q22">
        <f t="shared" si="6"/>
        <v>0</v>
      </c>
      <c r="R22">
        <f t="shared" si="6"/>
        <v>0</v>
      </c>
      <c r="S22">
        <f t="shared" si="6"/>
        <v>0.79607652091412007</v>
      </c>
      <c r="T22">
        <f t="shared" si="6"/>
        <v>0</v>
      </c>
      <c r="U22">
        <f t="shared" si="2"/>
        <v>1</v>
      </c>
    </row>
    <row r="23" spans="1:21" x14ac:dyDescent="0.25">
      <c r="A23" t="s">
        <v>74</v>
      </c>
      <c r="B23">
        <f t="shared" ref="B23:T23" si="7">IF($U$8=0,0,B$8/$U$8)</f>
        <v>5.1436308496879257E-3</v>
      </c>
      <c r="C23">
        <f t="shared" si="7"/>
        <v>2.5208981792379206E-4</v>
      </c>
      <c r="D23">
        <f t="shared" si="7"/>
        <v>9.8964318782416502E-2</v>
      </c>
      <c r="E23">
        <f t="shared" si="7"/>
        <v>1.546261920340627E-2</v>
      </c>
      <c r="F23">
        <f t="shared" si="7"/>
        <v>6.6660260984163586E-3</v>
      </c>
      <c r="G23">
        <f t="shared" si="7"/>
        <v>8.9154035869060538E-2</v>
      </c>
      <c r="H23">
        <f t="shared" si="7"/>
        <v>5.9017998698786128E-2</v>
      </c>
      <c r="I23">
        <f t="shared" si="7"/>
        <v>2.9831237880852811E-2</v>
      </c>
      <c r="J23">
        <f t="shared" si="7"/>
        <v>5.9726398931643065E-4</v>
      </c>
      <c r="K23">
        <f t="shared" si="7"/>
        <v>1.5830259358595454E-4</v>
      </c>
      <c r="L23">
        <f t="shared" si="7"/>
        <v>1.5521436195314032E-2</v>
      </c>
      <c r="M23">
        <f t="shared" si="7"/>
        <v>6.7173599911191845E-2</v>
      </c>
      <c r="N23">
        <f t="shared" si="7"/>
        <v>0</v>
      </c>
      <c r="O23">
        <f t="shared" si="7"/>
        <v>0</v>
      </c>
      <c r="P23">
        <f t="shared" si="7"/>
        <v>0</v>
      </c>
      <c r="Q23">
        <f t="shared" si="7"/>
        <v>0.61205744011004137</v>
      </c>
      <c r="R23">
        <f t="shared" si="7"/>
        <v>0</v>
      </c>
      <c r="S23">
        <f t="shared" si="7"/>
        <v>0</v>
      </c>
      <c r="T23">
        <f t="shared" si="7"/>
        <v>0</v>
      </c>
      <c r="U23">
        <f t="shared" si="2"/>
        <v>0.99999999999999989</v>
      </c>
    </row>
    <row r="24" spans="1:21" x14ac:dyDescent="0.25">
      <c r="A24" t="s">
        <v>75</v>
      </c>
      <c r="B24">
        <f t="shared" ref="B24:T24" si="8">IF($U$9=0,0,B$9/$U$9)</f>
        <v>3.8427582549254137E-2</v>
      </c>
      <c r="C24">
        <f t="shared" si="8"/>
        <v>2.1360015325926759E-3</v>
      </c>
      <c r="D24">
        <f t="shared" si="8"/>
        <v>0.13889137674658172</v>
      </c>
      <c r="E24">
        <f t="shared" si="8"/>
        <v>7.6993502760416025E-3</v>
      </c>
      <c r="F24">
        <f t="shared" si="8"/>
        <v>1.1998060730306731E-2</v>
      </c>
      <c r="G24">
        <f t="shared" si="8"/>
        <v>0.16297860241328882</v>
      </c>
      <c r="H24">
        <f t="shared" si="8"/>
        <v>0.10449242826966361</v>
      </c>
      <c r="I24">
        <f t="shared" si="8"/>
        <v>3.769425168709351E-3</v>
      </c>
      <c r="J24">
        <f t="shared" si="8"/>
        <v>9.5836909979552139E-3</v>
      </c>
      <c r="K24">
        <f t="shared" si="8"/>
        <v>6.4960580122042544E-4</v>
      </c>
      <c r="L24">
        <f t="shared" si="8"/>
        <v>4.5618209456659731E-2</v>
      </c>
      <c r="M24">
        <f t="shared" si="8"/>
        <v>7.0248267294322875E-2</v>
      </c>
      <c r="N24">
        <f t="shared" si="8"/>
        <v>0</v>
      </c>
      <c r="O24">
        <f t="shared" si="8"/>
        <v>0</v>
      </c>
      <c r="P24">
        <f t="shared" si="8"/>
        <v>0</v>
      </c>
      <c r="Q24">
        <f t="shared" si="8"/>
        <v>0.40350739876340308</v>
      </c>
      <c r="R24">
        <f t="shared" si="8"/>
        <v>0</v>
      </c>
      <c r="S24">
        <f t="shared" si="8"/>
        <v>0</v>
      </c>
      <c r="T24">
        <f t="shared" si="8"/>
        <v>0</v>
      </c>
      <c r="U24">
        <f t="shared" si="2"/>
        <v>1</v>
      </c>
    </row>
    <row r="25" spans="1:21" x14ac:dyDescent="0.25">
      <c r="A25" t="s">
        <v>76</v>
      </c>
      <c r="B25">
        <f t="shared" ref="B25:T25" si="9">IF($U$10=0,0,B$10/$U$10)</f>
        <v>2.7650838322366994E-4</v>
      </c>
      <c r="C25">
        <f t="shared" si="9"/>
        <v>1.0245094283235529E-4</v>
      </c>
      <c r="D25">
        <f t="shared" si="9"/>
        <v>2.1855344432857908E-2</v>
      </c>
      <c r="E25">
        <f t="shared" si="9"/>
        <v>1.8432468095952594E-2</v>
      </c>
      <c r="F25">
        <f t="shared" si="9"/>
        <v>7.5026389591340654E-3</v>
      </c>
      <c r="G25">
        <f t="shared" si="9"/>
        <v>6.910947840074444E-2</v>
      </c>
      <c r="H25">
        <f t="shared" si="9"/>
        <v>1.4242502633771645E-2</v>
      </c>
      <c r="I25">
        <f t="shared" si="9"/>
        <v>0.11715588876448388</v>
      </c>
      <c r="J25">
        <f t="shared" si="9"/>
        <v>4.7197917001036538E-2</v>
      </c>
      <c r="K25">
        <f t="shared" si="9"/>
        <v>2.6804716806196017E-3</v>
      </c>
      <c r="L25">
        <f t="shared" si="9"/>
        <v>9.174121768433402E-2</v>
      </c>
      <c r="M25">
        <f t="shared" si="9"/>
        <v>0.17896766083185897</v>
      </c>
      <c r="N25">
        <f t="shared" si="9"/>
        <v>0</v>
      </c>
      <c r="O25">
        <f t="shared" si="9"/>
        <v>1.1953860621245061E-2</v>
      </c>
      <c r="P25">
        <f t="shared" si="9"/>
        <v>0</v>
      </c>
      <c r="Q25">
        <f t="shared" si="9"/>
        <v>0.36959296713192402</v>
      </c>
      <c r="R25">
        <f t="shared" si="9"/>
        <v>0</v>
      </c>
      <c r="S25">
        <f t="shared" si="9"/>
        <v>4.9392894087945526E-2</v>
      </c>
      <c r="T25">
        <f t="shared" si="9"/>
        <v>-2.0426965196437252E-4</v>
      </c>
      <c r="U25">
        <f t="shared" si="2"/>
        <v>0.99999999999999978</v>
      </c>
    </row>
    <row r="26" spans="1:21" x14ac:dyDescent="0.25">
      <c r="A26" t="s">
        <v>77</v>
      </c>
      <c r="B26">
        <f t="shared" ref="B26:T26" si="10">IF($U$11=0,0,B$11/$U$11)</f>
        <v>2.1447218451858187E-2</v>
      </c>
      <c r="C26">
        <f t="shared" si="10"/>
        <v>1.2015785482841557E-3</v>
      </c>
      <c r="D26">
        <f t="shared" si="10"/>
        <v>3.0086346268744468E-2</v>
      </c>
      <c r="E26">
        <f t="shared" si="10"/>
        <v>2.1507227889992299E-2</v>
      </c>
      <c r="F26">
        <f t="shared" si="10"/>
        <v>1.5909492170236482E-2</v>
      </c>
      <c r="G26">
        <f t="shared" si="10"/>
        <v>4.0482236755839354E-2</v>
      </c>
      <c r="H26">
        <f t="shared" si="10"/>
        <v>1.1693214507389476E-2</v>
      </c>
      <c r="I26">
        <f t="shared" si="10"/>
        <v>1.0978843407590923E-2</v>
      </c>
      <c r="J26">
        <f t="shared" si="10"/>
        <v>6.0190698305014362E-2</v>
      </c>
      <c r="K26">
        <f t="shared" si="10"/>
        <v>2.5190656634029234E-2</v>
      </c>
      <c r="L26">
        <f t="shared" si="10"/>
        <v>2.4471610746495794E-2</v>
      </c>
      <c r="M26">
        <f t="shared" si="10"/>
        <v>0.11022995132424462</v>
      </c>
      <c r="N26">
        <f t="shared" si="10"/>
        <v>0</v>
      </c>
      <c r="O26">
        <f t="shared" si="10"/>
        <v>0</v>
      </c>
      <c r="P26">
        <f t="shared" si="10"/>
        <v>1.2723836196070375E-3</v>
      </c>
      <c r="Q26">
        <f t="shared" si="10"/>
        <v>0.62533854137067368</v>
      </c>
      <c r="R26">
        <f t="shared" si="10"/>
        <v>0</v>
      </c>
      <c r="S26">
        <f t="shared" si="10"/>
        <v>0</v>
      </c>
      <c r="T26">
        <f t="shared" si="10"/>
        <v>0</v>
      </c>
      <c r="U26">
        <f t="shared" si="2"/>
        <v>1</v>
      </c>
    </row>
    <row r="27" spans="1:21" x14ac:dyDescent="0.25">
      <c r="A27" t="s">
        <v>78</v>
      </c>
      <c r="B27">
        <f t="shared" ref="B27:T27" si="11">IF($U$12=0,0,B$12/$U$12)</f>
        <v>5.2622098611848998E-5</v>
      </c>
      <c r="C27">
        <f t="shared" si="11"/>
        <v>1.0242265605882737E-4</v>
      </c>
      <c r="D27">
        <f t="shared" si="11"/>
        <v>4.8688898447011159E-3</v>
      </c>
      <c r="E27">
        <f t="shared" si="11"/>
        <v>5.203162038822211E-3</v>
      </c>
      <c r="F27">
        <f t="shared" si="11"/>
        <v>3.0360463654588517E-3</v>
      </c>
      <c r="G27">
        <f t="shared" si="11"/>
        <v>8.2825231221329843E-2</v>
      </c>
      <c r="H27">
        <f t="shared" si="11"/>
        <v>1.0112675119052448E-2</v>
      </c>
      <c r="I27">
        <f t="shared" si="11"/>
        <v>5.6638970459147045E-3</v>
      </c>
      <c r="J27">
        <f t="shared" si="11"/>
        <v>5.0693386001143077E-3</v>
      </c>
      <c r="K27">
        <f t="shared" si="11"/>
        <v>2.8188022768920605E-3</v>
      </c>
      <c r="L27">
        <f t="shared" si="11"/>
        <v>4.2443432979259454E-2</v>
      </c>
      <c r="M27">
        <f t="shared" si="11"/>
        <v>1.1771921327585715E-2</v>
      </c>
      <c r="N27">
        <f t="shared" si="11"/>
        <v>0</v>
      </c>
      <c r="O27">
        <f t="shared" si="11"/>
        <v>8.6858813391166214E-4</v>
      </c>
      <c r="P27">
        <f t="shared" si="11"/>
        <v>0</v>
      </c>
      <c r="Q27">
        <f t="shared" si="11"/>
        <v>0.8251629702922868</v>
      </c>
      <c r="R27">
        <f t="shared" si="11"/>
        <v>0</v>
      </c>
      <c r="S27">
        <f t="shared" si="11"/>
        <v>0</v>
      </c>
      <c r="T27">
        <f t="shared" si="11"/>
        <v>0</v>
      </c>
      <c r="U27">
        <f t="shared" si="2"/>
        <v>0.99999999999999989</v>
      </c>
    </row>
    <row r="28" spans="1:21" x14ac:dyDescent="0.25">
      <c r="A28" t="s">
        <v>79</v>
      </c>
      <c r="B28">
        <f t="shared" ref="B28:T28" si="12">IF($U$13=0,0,B$13/$U$13)</f>
        <v>2.71453541982173E-3</v>
      </c>
      <c r="C28">
        <f t="shared" si="12"/>
        <v>8.0740141158861607E-4</v>
      </c>
      <c r="D28">
        <f t="shared" si="12"/>
        <v>2.9568148590488608E-2</v>
      </c>
      <c r="E28">
        <f t="shared" si="12"/>
        <v>1.8447275213109939E-2</v>
      </c>
      <c r="F28">
        <f t="shared" si="12"/>
        <v>1.153568191446133E-2</v>
      </c>
      <c r="G28">
        <f t="shared" si="12"/>
        <v>6.4378321016092921E-2</v>
      </c>
      <c r="H28">
        <f t="shared" si="12"/>
        <v>1.1889181226721118E-2</v>
      </c>
      <c r="I28">
        <f t="shared" si="12"/>
        <v>2.1814430231626013E-2</v>
      </c>
      <c r="J28">
        <f t="shared" si="12"/>
        <v>1.6851474789337604E-2</v>
      </c>
      <c r="K28">
        <f t="shared" si="12"/>
        <v>2.2431585241657246E-3</v>
      </c>
      <c r="L28">
        <f t="shared" si="12"/>
        <v>5.8227722633187942E-2</v>
      </c>
      <c r="M28">
        <f t="shared" si="12"/>
        <v>0.10273706029175551</v>
      </c>
      <c r="N28">
        <f t="shared" si="12"/>
        <v>0</v>
      </c>
      <c r="O28">
        <f t="shared" si="12"/>
        <v>1.3728240950259145E-2</v>
      </c>
      <c r="P28">
        <f t="shared" si="12"/>
        <v>3.6387621426036687E-2</v>
      </c>
      <c r="Q28">
        <f t="shared" si="12"/>
        <v>0.56860747112292842</v>
      </c>
      <c r="R28">
        <f t="shared" si="12"/>
        <v>2.9832903698935292E-2</v>
      </c>
      <c r="S28">
        <f t="shared" si="12"/>
        <v>1.02293715394834E-2</v>
      </c>
      <c r="T28">
        <f t="shared" si="12"/>
        <v>0</v>
      </c>
      <c r="U28">
        <f t="shared" si="2"/>
        <v>1</v>
      </c>
    </row>
    <row r="29" spans="1:21" x14ac:dyDescent="0.25">
      <c r="A29" t="s">
        <v>80</v>
      </c>
      <c r="B29">
        <f t="shared" ref="B29:T29" si="13">IF($U$14=0,0,B$14/$U$14)</f>
        <v>0</v>
      </c>
      <c r="C29">
        <f t="shared" si="13"/>
        <v>0</v>
      </c>
      <c r="D29">
        <f t="shared" si="13"/>
        <v>0</v>
      </c>
      <c r="E29">
        <f t="shared" si="13"/>
        <v>0</v>
      </c>
      <c r="F29">
        <f t="shared" si="13"/>
        <v>0</v>
      </c>
      <c r="G29">
        <f t="shared" si="13"/>
        <v>0</v>
      </c>
      <c r="H29">
        <f t="shared" si="13"/>
        <v>0</v>
      </c>
      <c r="I29">
        <f t="shared" si="13"/>
        <v>0</v>
      </c>
      <c r="J29">
        <f t="shared" si="13"/>
        <v>0</v>
      </c>
      <c r="K29">
        <f t="shared" si="13"/>
        <v>0</v>
      </c>
      <c r="L29">
        <f t="shared" si="13"/>
        <v>0</v>
      </c>
      <c r="M29">
        <f t="shared" si="13"/>
        <v>0</v>
      </c>
      <c r="N29">
        <f t="shared" si="13"/>
        <v>0</v>
      </c>
      <c r="O29">
        <f t="shared" si="13"/>
        <v>0</v>
      </c>
      <c r="P29">
        <f t="shared" si="13"/>
        <v>1</v>
      </c>
      <c r="Q29">
        <f t="shared" si="13"/>
        <v>0</v>
      </c>
      <c r="R29">
        <f t="shared" si="13"/>
        <v>0</v>
      </c>
      <c r="S29">
        <f t="shared" si="13"/>
        <v>0</v>
      </c>
      <c r="T29">
        <f t="shared" si="13"/>
        <v>0</v>
      </c>
      <c r="U29">
        <f t="shared" si="2"/>
        <v>1</v>
      </c>
    </row>
    <row r="31" spans="1:21" ht="15.75" x14ac:dyDescent="0.25">
      <c r="A31" s="1" t="s">
        <v>149</v>
      </c>
    </row>
    <row r="32" spans="1:21" ht="90" x14ac:dyDescent="0.25">
      <c r="A32" s="2" t="s">
        <v>131</v>
      </c>
      <c r="B32" s="2" t="s">
        <v>69</v>
      </c>
      <c r="C32" s="2" t="s">
        <v>70</v>
      </c>
      <c r="D32" s="2" t="s">
        <v>71</v>
      </c>
      <c r="E32" s="2" t="s">
        <v>72</v>
      </c>
      <c r="F32" s="2" t="s">
        <v>73</v>
      </c>
      <c r="G32" s="2" t="s">
        <v>74</v>
      </c>
      <c r="H32" s="2" t="s">
        <v>75</v>
      </c>
      <c r="I32" s="2" t="s">
        <v>76</v>
      </c>
      <c r="J32" s="2" t="s">
        <v>77</v>
      </c>
      <c r="K32" s="2" t="s">
        <v>78</v>
      </c>
      <c r="L32" s="2" t="s">
        <v>79</v>
      </c>
      <c r="M32" s="2" t="s">
        <v>80</v>
      </c>
      <c r="N32" s="2" t="s">
        <v>92</v>
      </c>
      <c r="O32" s="2" t="s">
        <v>93</v>
      </c>
      <c r="P32" s="2" t="s">
        <v>95</v>
      </c>
      <c r="Q32" s="2" t="s">
        <v>96</v>
      </c>
      <c r="R32" s="2" t="s">
        <v>97</v>
      </c>
      <c r="S32" s="2" t="s">
        <v>98</v>
      </c>
      <c r="T32" s="2" t="s">
        <v>99</v>
      </c>
    </row>
    <row r="33" spans="1:20" x14ac:dyDescent="0.25">
      <c r="A33" t="s">
        <v>69</v>
      </c>
      <c r="B33">
        <f>B$18*'01_Recursos'!$P$2</f>
        <v>39.249174739160104</v>
      </c>
      <c r="C33">
        <f>C$18*'01_Recursos'!$P$2</f>
        <v>1.3647328220526224E-3</v>
      </c>
      <c r="D33">
        <f>D$18*'01_Recursos'!$P$2</f>
        <v>185.64224428425334</v>
      </c>
      <c r="E33">
        <f>E$18*'01_Recursos'!$P$2</f>
        <v>3.1003204290565099E-2</v>
      </c>
      <c r="F33">
        <f>F$18*'01_Recursos'!$P$2</f>
        <v>1.160122812529176</v>
      </c>
      <c r="G33">
        <f>G$18*'01_Recursos'!$P$2</f>
        <v>7.4572640214789532</v>
      </c>
      <c r="H33">
        <f>H$18*'01_Recursos'!$P$2</f>
        <v>0</v>
      </c>
      <c r="I33">
        <f>I$18*'01_Recursos'!$P$2</f>
        <v>0</v>
      </c>
      <c r="J33">
        <f>J$18*'01_Recursos'!$P$2</f>
        <v>0</v>
      </c>
      <c r="K33">
        <f>K$18*'01_Recursos'!$P$2</f>
        <v>0</v>
      </c>
      <c r="L33">
        <f>L$18*'01_Recursos'!$P$2</f>
        <v>7.9192682618408892</v>
      </c>
      <c r="M33">
        <f>M$18*'01_Recursos'!$P$2</f>
        <v>5.2689541718395132</v>
      </c>
      <c r="N33">
        <f>N$18*'01_Recursos'!$P$2</f>
        <v>0</v>
      </c>
      <c r="O33">
        <f>O$18*'01_Recursos'!$P$2</f>
        <v>148.07531674855545</v>
      </c>
      <c r="P33">
        <f>P$18*'01_Recursos'!$P$2</f>
        <v>0.14219368404463978</v>
      </c>
      <c r="Q33">
        <f>Q$18*'01_Recursos'!$P$2</f>
        <v>346.80536390421992</v>
      </c>
      <c r="R33">
        <f>R$18*'01_Recursos'!$P$2</f>
        <v>0</v>
      </c>
      <c r="S33">
        <f>S$18*'01_Recursos'!$P$2</f>
        <v>19.549232446871294</v>
      </c>
      <c r="T33">
        <f>T$18*'01_Recursos'!$P$2</f>
        <v>96.057080588094266</v>
      </c>
    </row>
    <row r="34" spans="1:20" x14ac:dyDescent="0.25">
      <c r="A34" t="s">
        <v>70</v>
      </c>
      <c r="B34">
        <f>B$19*'01_Recursos'!$P$3</f>
        <v>0.58390903953167839</v>
      </c>
      <c r="C34">
        <f>C$19*'01_Recursos'!$P$3</f>
        <v>0.32941324068229438</v>
      </c>
      <c r="D34">
        <f>D$19*'01_Recursos'!$P$3</f>
        <v>9.8928094227026726</v>
      </c>
      <c r="E34">
        <f>E$19*'01_Recursos'!$P$3</f>
        <v>0.26520655475085458</v>
      </c>
      <c r="F34">
        <f>F$19*'01_Recursos'!$P$3</f>
        <v>6.7120530365813256</v>
      </c>
      <c r="G34">
        <f>G$19*'01_Recursos'!$P$3</f>
        <v>3.6027647562578653E-2</v>
      </c>
      <c r="H34">
        <f>H$19*'01_Recursos'!$P$3</f>
        <v>3.03598334960879E-4</v>
      </c>
      <c r="I34">
        <f>I$19*'01_Recursos'!$P$3</f>
        <v>0</v>
      </c>
      <c r="J34">
        <f>J$19*'01_Recursos'!$P$3</f>
        <v>0</v>
      </c>
      <c r="K34">
        <f>K$19*'01_Recursos'!$P$3</f>
        <v>0.39041478504272614</v>
      </c>
      <c r="L34">
        <f>L$19*'01_Recursos'!$P$3</f>
        <v>2.705361334037347E-2</v>
      </c>
      <c r="M34">
        <f>M$19*'01_Recursos'!$P$3</f>
        <v>0.13340409340069015</v>
      </c>
      <c r="N34">
        <f>N$19*'01_Recursos'!$P$3</f>
        <v>0</v>
      </c>
      <c r="O34">
        <f>O$19*'01_Recursos'!$P$3</f>
        <v>5.7996761300487432</v>
      </c>
      <c r="P34">
        <f>P$19*'01_Recursos'!$P$3</f>
        <v>0</v>
      </c>
      <c r="Q34">
        <f>Q$19*'01_Recursos'!$P$3</f>
        <v>0</v>
      </c>
      <c r="R34">
        <f>R$19*'01_Recursos'!$P$3</f>
        <v>0</v>
      </c>
      <c r="S34">
        <f>S$19*'01_Recursos'!$P$3</f>
        <v>0</v>
      </c>
      <c r="T34">
        <f>T$19*'01_Recursos'!$P$3</f>
        <v>3.9817868380211086</v>
      </c>
    </row>
    <row r="35" spans="1:20" x14ac:dyDescent="0.25">
      <c r="A35" t="s">
        <v>71</v>
      </c>
      <c r="B35">
        <f>B$20*'01_Recursos'!$P$4</f>
        <v>1057.8511987183799</v>
      </c>
      <c r="C35">
        <f>C$20*'01_Recursos'!$P$4</f>
        <v>27.192733935824869</v>
      </c>
      <c r="D35">
        <f>D$20*'01_Recursos'!$P$4</f>
        <v>1639.2628571382893</v>
      </c>
      <c r="E35">
        <f>E$20*'01_Recursos'!$P$4</f>
        <v>190.09585986926942</v>
      </c>
      <c r="F35">
        <f>F$20*'01_Recursos'!$P$4</f>
        <v>919.63251671086448</v>
      </c>
      <c r="G35">
        <f>G$20*'01_Recursos'!$P$4</f>
        <v>419.75318237782142</v>
      </c>
      <c r="H35">
        <f>H$20*'01_Recursos'!$P$4</f>
        <v>350.86956817222341</v>
      </c>
      <c r="I35">
        <f>I$20*'01_Recursos'!$P$4</f>
        <v>28.857324701628528</v>
      </c>
      <c r="J35">
        <f>J$20*'01_Recursos'!$P$4</f>
        <v>14.533769440025193</v>
      </c>
      <c r="K35">
        <f>K$20*'01_Recursos'!$P$4</f>
        <v>24.267786588460087</v>
      </c>
      <c r="L35">
        <f>L$20*'01_Recursos'!$P$4</f>
        <v>554.15055325122898</v>
      </c>
      <c r="M35">
        <f>M$20*'01_Recursos'!$P$4</f>
        <v>442.08941887016982</v>
      </c>
      <c r="N35">
        <f>N$20*'01_Recursos'!$P$4</f>
        <v>0</v>
      </c>
      <c r="O35">
        <f>O$20*'01_Recursos'!$P$4</f>
        <v>2299.4039410172713</v>
      </c>
      <c r="P35">
        <f>P$20*'01_Recursos'!$P$4</f>
        <v>51.020524508420955</v>
      </c>
      <c r="Q35">
        <f>Q$20*'01_Recursos'!$P$4</f>
        <v>10517.328421303126</v>
      </c>
      <c r="R35">
        <f>R$20*'01_Recursos'!$P$4</f>
        <v>0</v>
      </c>
      <c r="S35">
        <f>S$20*'01_Recursos'!$P$4</f>
        <v>1053.9010390013473</v>
      </c>
      <c r="T35">
        <f>T$20*'01_Recursos'!$P$4</f>
        <v>976.93228822564606</v>
      </c>
    </row>
    <row r="36" spans="1:20" x14ac:dyDescent="0.25">
      <c r="A36" t="s">
        <v>72</v>
      </c>
      <c r="B36">
        <f>B$21*'01_Recursos'!$P$5</f>
        <v>0</v>
      </c>
      <c r="C36">
        <f>C$21*'01_Recursos'!$P$5</f>
        <v>0</v>
      </c>
      <c r="D36">
        <f>D$21*'01_Recursos'!$P$5</f>
        <v>0</v>
      </c>
      <c r="E36">
        <f>E$21*'01_Recursos'!$P$5</f>
        <v>0</v>
      </c>
      <c r="F36">
        <f>F$21*'01_Recursos'!$P$5</f>
        <v>0</v>
      </c>
      <c r="G36">
        <f>G$21*'01_Recursos'!$P$5</f>
        <v>0</v>
      </c>
      <c r="H36">
        <f>H$21*'01_Recursos'!$P$5</f>
        <v>0</v>
      </c>
      <c r="I36">
        <f>I$21*'01_Recursos'!$P$5</f>
        <v>0</v>
      </c>
      <c r="J36">
        <f>J$21*'01_Recursos'!$P$5</f>
        <v>0</v>
      </c>
      <c r="K36">
        <f>K$21*'01_Recursos'!$P$5</f>
        <v>0</v>
      </c>
      <c r="L36">
        <f>L$21*'01_Recursos'!$P$5</f>
        <v>0</v>
      </c>
      <c r="M36">
        <f>M$21*'01_Recursos'!$P$5</f>
        <v>0</v>
      </c>
      <c r="N36">
        <f>N$21*'01_Recursos'!$P$5</f>
        <v>0</v>
      </c>
      <c r="O36">
        <f>O$21*'01_Recursos'!$P$5</f>
        <v>0</v>
      </c>
      <c r="P36">
        <f>P$21*'01_Recursos'!$P$5</f>
        <v>0</v>
      </c>
      <c r="Q36">
        <f>Q$21*'01_Recursos'!$P$5</f>
        <v>0</v>
      </c>
      <c r="R36">
        <f>R$21*'01_Recursos'!$P$5</f>
        <v>0</v>
      </c>
      <c r="S36">
        <f>S$21*'01_Recursos'!$P$5</f>
        <v>0</v>
      </c>
      <c r="T36">
        <f>T$21*'01_Recursos'!$P$5</f>
        <v>0</v>
      </c>
    </row>
    <row r="37" spans="1:20" x14ac:dyDescent="0.25">
      <c r="A37" t="s">
        <v>73</v>
      </c>
      <c r="B37">
        <f>B$22*'01_Recursos'!$P$6</f>
        <v>0.10132807219961427</v>
      </c>
      <c r="C37">
        <f>C$22*'01_Recursos'!$P$6</f>
        <v>3.6547355851464382E-4</v>
      </c>
      <c r="D37">
        <f>D$22*'01_Recursos'!$P$6</f>
        <v>6.0021508465799851E-2</v>
      </c>
      <c r="E37">
        <f>E$22*'01_Recursos'!$P$6</f>
        <v>2.0947524564358537</v>
      </c>
      <c r="F37">
        <f>F$22*'01_Recursos'!$P$6</f>
        <v>18.692137776104325</v>
      </c>
      <c r="G37">
        <f>G$22*'01_Recursos'!$P$6</f>
        <v>0.29629239025244541</v>
      </c>
      <c r="H37">
        <f>H$22*'01_Recursos'!$P$6</f>
        <v>0.22137911400215357</v>
      </c>
      <c r="I37">
        <f>I$22*'01_Recursos'!$P$6</f>
        <v>0.9001138816247759</v>
      </c>
      <c r="J37">
        <f>J$22*'01_Recursos'!$P$6</f>
        <v>0.13012220635964317</v>
      </c>
      <c r="K37">
        <f>K$22*'01_Recursos'!$P$6</f>
        <v>0.27930344581935834</v>
      </c>
      <c r="L37">
        <f>L$22*'01_Recursos'!$P$6</f>
        <v>0.65876394391590332</v>
      </c>
      <c r="M37">
        <f>M$22*'01_Recursos'!$P$6</f>
        <v>9.6223838449001224</v>
      </c>
      <c r="N37">
        <f>N$22*'01_Recursos'!$P$6</f>
        <v>0</v>
      </c>
      <c r="O37">
        <f>O$22*'01_Recursos'!$P$6</f>
        <v>0</v>
      </c>
      <c r="P37">
        <f>P$22*'01_Recursos'!$P$6</f>
        <v>0</v>
      </c>
      <c r="Q37">
        <f>Q$22*'01_Recursos'!$P$6</f>
        <v>0</v>
      </c>
      <c r="R37">
        <f>R$22*'01_Recursos'!$P$6</f>
        <v>0</v>
      </c>
      <c r="S37">
        <f>S$22*'01_Recursos'!$P$6</f>
        <v>129.04778351925648</v>
      </c>
      <c r="T37">
        <f>T$22*'01_Recursos'!$P$6</f>
        <v>0</v>
      </c>
    </row>
    <row r="38" spans="1:20" x14ac:dyDescent="0.25">
      <c r="A38" t="s">
        <v>74</v>
      </c>
      <c r="B38">
        <f>B$23*'01_Recursos'!$P$7</f>
        <v>9.8763082999484766</v>
      </c>
      <c r="C38">
        <f>C$23*'01_Recursos'!$P$7</f>
        <v>0.4840387721922742</v>
      </c>
      <c r="D38">
        <f>D$23*'01_Recursos'!$P$7</f>
        <v>190.02182535102182</v>
      </c>
      <c r="E38">
        <f>E$23*'01_Recursos'!$P$7</f>
        <v>29.689843388899007</v>
      </c>
      <c r="F38">
        <f>F$23*'01_Recursos'!$P$7</f>
        <v>12.799466137321465</v>
      </c>
      <c r="G38">
        <f>G$23*'01_Recursos'!$P$7</f>
        <v>171.18505782368288</v>
      </c>
      <c r="H38">
        <f>H$23*'01_Recursos'!$P$7</f>
        <v>113.32071982392249</v>
      </c>
      <c r="I38">
        <f>I$23*'01_Recursos'!$P$7</f>
        <v>57.279091538670457</v>
      </c>
      <c r="J38">
        <f>J$23*'01_Recursos'!$P$7</f>
        <v>1.1468092223811301</v>
      </c>
      <c r="K38">
        <f>K$23*'01_Recursos'!$P$7</f>
        <v>0.30395750873746907</v>
      </c>
      <c r="L38">
        <f>L$23*'01_Recursos'!$P$7</f>
        <v>29.802778154696181</v>
      </c>
      <c r="M38">
        <f>M$23*'01_Recursos'!$P$7</f>
        <v>128.98032571302696</v>
      </c>
      <c r="N38">
        <f>N$23*'01_Recursos'!$P$7</f>
        <v>0</v>
      </c>
      <c r="O38">
        <f>O$23*'01_Recursos'!$P$7</f>
        <v>0</v>
      </c>
      <c r="P38">
        <f>P$23*'01_Recursos'!$P$7</f>
        <v>0</v>
      </c>
      <c r="Q38">
        <f>Q$23*'01_Recursos'!$P$7</f>
        <v>1175.2141925524793</v>
      </c>
      <c r="R38">
        <f>R$23*'01_Recursos'!$P$7</f>
        <v>0</v>
      </c>
      <c r="S38">
        <f>S$23*'01_Recursos'!$P$7</f>
        <v>0</v>
      </c>
      <c r="T38">
        <f>T$23*'01_Recursos'!$P$7</f>
        <v>0</v>
      </c>
    </row>
    <row r="39" spans="1:20" x14ac:dyDescent="0.25">
      <c r="A39" t="s">
        <v>75</v>
      </c>
      <c r="B39">
        <f>B$24*'01_Recursos'!$P$8</f>
        <v>25.715667448297928</v>
      </c>
      <c r="C39">
        <f>C$24*'01_Recursos'!$P$8</f>
        <v>1.4294082905372383</v>
      </c>
      <c r="D39">
        <f>D$24*'01_Recursos'!$P$8</f>
        <v>92.945853444550877</v>
      </c>
      <c r="E39">
        <f>E$24*'01_Recursos'!$P$8</f>
        <v>5.1523910205090351</v>
      </c>
      <c r="F39">
        <f>F$24*'01_Recursos'!$P$8</f>
        <v>8.0290801371536986</v>
      </c>
      <c r="G39">
        <f>G$24*'01_Recursos'!$P$8</f>
        <v>109.06498048573835</v>
      </c>
      <c r="H39">
        <f>H$24*'01_Recursos'!$P$8</f>
        <v>69.926140495662025</v>
      </c>
      <c r="I39">
        <f>I$24*'01_Recursos'!$P$8</f>
        <v>2.5224923786327387</v>
      </c>
      <c r="J39">
        <f>J$24*'01_Recursos'!$P$8</f>
        <v>6.4133883601649124</v>
      </c>
      <c r="K39">
        <f>K$24*'01_Recursos'!$P$8</f>
        <v>0.43471500543283143</v>
      </c>
      <c r="L39">
        <f>L$24*'01_Recursos'!$P$8</f>
        <v>30.527621727717317</v>
      </c>
      <c r="M39">
        <f>M$24*'01_Recursos'!$P$8</f>
        <v>47.010011057669665</v>
      </c>
      <c r="N39">
        <f>N$24*'01_Recursos'!$P$8</f>
        <v>0</v>
      </c>
      <c r="O39">
        <f>O$24*'01_Recursos'!$P$8</f>
        <v>0</v>
      </c>
      <c r="P39">
        <f>P$24*'01_Recursos'!$P$8</f>
        <v>0</v>
      </c>
      <c r="Q39">
        <f>Q$24*'01_Recursos'!$P$8</f>
        <v>270.02640788624939</v>
      </c>
      <c r="R39">
        <f>R$24*'01_Recursos'!$P$8</f>
        <v>0</v>
      </c>
      <c r="S39">
        <f>S$24*'01_Recursos'!$P$8</f>
        <v>0</v>
      </c>
      <c r="T39">
        <f>T$24*'01_Recursos'!$P$8</f>
        <v>0</v>
      </c>
    </row>
    <row r="40" spans="1:20" x14ac:dyDescent="0.25">
      <c r="A40" t="s">
        <v>76</v>
      </c>
      <c r="B40">
        <f>B$25*'01_Recursos'!$P$9</f>
        <v>8.3439925571448845E-2</v>
      </c>
      <c r="C40">
        <f>C$25*'01_Recursos'!$P$9</f>
        <v>3.0915876564008311E-2</v>
      </c>
      <c r="D40">
        <f>D$25*'01_Recursos'!$P$9</f>
        <v>6.5951284787662683</v>
      </c>
      <c r="E40">
        <f>E$25*'01_Recursos'!$P$9</f>
        <v>5.5622319587333662</v>
      </c>
      <c r="F40">
        <f>F$25*'01_Recursos'!$P$9</f>
        <v>2.2640168411574213</v>
      </c>
      <c r="G40">
        <f>G$25*'01_Recursos'!$P$9</f>
        <v>20.854665116519111</v>
      </c>
      <c r="H40">
        <f>H$25*'01_Recursos'!$P$9</f>
        <v>4.2978565273797464</v>
      </c>
      <c r="I40">
        <f>I$25*'01_Recursos'!$P$9</f>
        <v>35.35328124521277</v>
      </c>
      <c r="J40">
        <f>J$25*'01_Recursos'!$P$9</f>
        <v>14.242572452164222</v>
      </c>
      <c r="K40">
        <f>K$25*'01_Recursos'!$P$9</f>
        <v>0.80886646155084874</v>
      </c>
      <c r="L40">
        <f>L$25*'01_Recursos'!$P$9</f>
        <v>27.684080627757389</v>
      </c>
      <c r="M40">
        <f>M$25*'01_Recursos'!$P$9</f>
        <v>54.005770549919085</v>
      </c>
      <c r="N40">
        <f>N$25*'01_Recursos'!$P$9</f>
        <v>0</v>
      </c>
      <c r="O40">
        <f>O$25*'01_Recursos'!$P$9</f>
        <v>3.6072296575591789</v>
      </c>
      <c r="P40">
        <f>P$25*'01_Recursos'!$P$9</f>
        <v>0</v>
      </c>
      <c r="Q40">
        <f>Q$25*'01_Recursos'!$P$9</f>
        <v>111.52938406309696</v>
      </c>
      <c r="R40">
        <f>R$25*'01_Recursos'!$P$9</f>
        <v>0</v>
      </c>
      <c r="S40">
        <f>S$25*'01_Recursos'!$P$9</f>
        <v>14.904934737992535</v>
      </c>
      <c r="T40">
        <f>T$25*'01_Recursos'!$P$9</f>
        <v>-6.1640968558359301E-2</v>
      </c>
    </row>
    <row r="41" spans="1:20" x14ac:dyDescent="0.25">
      <c r="A41" t="s">
        <v>77</v>
      </c>
      <c r="B41">
        <f>B$26*'01_Recursos'!$P$10</f>
        <v>72.144315728162439</v>
      </c>
      <c r="C41">
        <f>C$26*'01_Recursos'!$P$10</f>
        <v>4.0418790135505258</v>
      </c>
      <c r="D41">
        <f>D$26*'01_Recursos'!$P$10</f>
        <v>101.20467925438908</v>
      </c>
      <c r="E41">
        <f>E$26*'01_Recursos'!$P$10</f>
        <v>72.346175930273731</v>
      </c>
      <c r="F41">
        <f>F$26*'01_Recursos'!$P$10</f>
        <v>53.516470155822255</v>
      </c>
      <c r="G41">
        <f>G$26*'01_Recursos'!$P$10</f>
        <v>136.17445434479916</v>
      </c>
      <c r="H41">
        <f>H$26*'01_Recursos'!$P$10</f>
        <v>39.33372344725413</v>
      </c>
      <c r="I41">
        <f>I$26*'01_Recursos'!$P$10</f>
        <v>36.930716535815868</v>
      </c>
      <c r="J41">
        <f>J$26*'01_Recursos'!$P$10</f>
        <v>202.46992644583713</v>
      </c>
      <c r="K41">
        <f>K$26*'01_Recursos'!$P$10</f>
        <v>84.736521413464629</v>
      </c>
      <c r="L41">
        <f>L$26*'01_Recursos'!$P$10</f>
        <v>82.317789415667733</v>
      </c>
      <c r="M41">
        <f>M$26*'01_Recursos'!$P$10</f>
        <v>370.79234441924939</v>
      </c>
      <c r="N41">
        <f>N$26*'01_Recursos'!$P$10</f>
        <v>0</v>
      </c>
      <c r="O41">
        <f>O$26*'01_Recursos'!$P$10</f>
        <v>0</v>
      </c>
      <c r="P41">
        <f>P$26*'01_Recursos'!$P$10</f>
        <v>4.2800536482771321</v>
      </c>
      <c r="Q41">
        <f>Q$26*'01_Recursos'!$P$10</f>
        <v>2103.5185176530772</v>
      </c>
      <c r="R41">
        <f>R$26*'01_Recursos'!$P$10</f>
        <v>0</v>
      </c>
      <c r="S41">
        <f>S$26*'01_Recursos'!$P$10</f>
        <v>0</v>
      </c>
      <c r="T41">
        <f>T$26*'01_Recursos'!$P$10</f>
        <v>0</v>
      </c>
    </row>
    <row r="42" spans="1:20" x14ac:dyDescent="0.25">
      <c r="A42" t="s">
        <v>78</v>
      </c>
      <c r="B42">
        <f>B$27*'01_Recursos'!$P$11</f>
        <v>9.2063673762313308E-3</v>
      </c>
      <c r="C42">
        <f>C$27*'01_Recursos'!$P$11</f>
        <v>1.7919099089571983E-2</v>
      </c>
      <c r="D42">
        <f>D$27*'01_Recursos'!$P$11</f>
        <v>0.85182441991447133</v>
      </c>
      <c r="E42">
        <f>E$27*'01_Recursos'!$P$11</f>
        <v>0.91030617385282087</v>
      </c>
      <c r="F42">
        <f>F$27*'01_Recursos'!$P$11</f>
        <v>0.53116388264667791</v>
      </c>
      <c r="G42">
        <f>G$27*'01_Recursos'!$P$11</f>
        <v>14.490480744019015</v>
      </c>
      <c r="H42">
        <f>H$27*'01_Recursos'!$P$11</f>
        <v>1.7692377301255531</v>
      </c>
      <c r="I42">
        <f>I$27*'01_Recursos'!$P$11</f>
        <v>0.99091291228170086</v>
      </c>
      <c r="J42">
        <f>J$27*'01_Recursos'!$P$11</f>
        <v>0.88689342953444594</v>
      </c>
      <c r="K42">
        <f>K$27*'01_Recursos'!$P$11</f>
        <v>0.49315648760884367</v>
      </c>
      <c r="L42">
        <f>L$27*'01_Recursos'!$P$11</f>
        <v>7.4255844412014662</v>
      </c>
      <c r="M42">
        <f>M$27*'01_Recursos'!$P$11</f>
        <v>2.0595269919821027</v>
      </c>
      <c r="N42">
        <f>N$27*'01_Recursos'!$P$11</f>
        <v>0</v>
      </c>
      <c r="O42">
        <f>O$27*'01_Recursos'!$P$11</f>
        <v>0.15196166003203421</v>
      </c>
      <c r="P42">
        <f>P$27*'01_Recursos'!$P$11</f>
        <v>0</v>
      </c>
      <c r="Q42">
        <f>Q$27*'01_Recursos'!$P$11</f>
        <v>144.36431936719603</v>
      </c>
      <c r="R42">
        <f>R$27*'01_Recursos'!$P$11</f>
        <v>0</v>
      </c>
      <c r="S42">
        <f>S$27*'01_Recursos'!$P$11</f>
        <v>0</v>
      </c>
      <c r="T42">
        <f>T$27*'01_Recursos'!$P$11</f>
        <v>0</v>
      </c>
    </row>
    <row r="43" spans="1:20" x14ac:dyDescent="0.25">
      <c r="A43" t="s">
        <v>79</v>
      </c>
      <c r="B43">
        <f>B$28*'01_Recursos'!$P$12</f>
        <v>11.554056803506537</v>
      </c>
      <c r="C43">
        <f>C$28*'01_Recursos'!$P$12</f>
        <v>3.4365960762961323</v>
      </c>
      <c r="D43">
        <f>D$28*'01_Recursos'!$P$12</f>
        <v>125.85286819041136</v>
      </c>
      <c r="E43">
        <f>E$28*'01_Recursos'!$P$12</f>
        <v>78.518358657551744</v>
      </c>
      <c r="F43">
        <f>F$28*'01_Recursos'!$P$12</f>
        <v>49.100086568633657</v>
      </c>
      <c r="G43">
        <f>G$28*'01_Recursos'!$P$12</f>
        <v>274.01770944037469</v>
      </c>
      <c r="H43">
        <f>H$28*'01_Recursos'!$P$12</f>
        <v>50.604709092261778</v>
      </c>
      <c r="I43">
        <f>I$28*'01_Recursos'!$P$12</f>
        <v>92.850203460925783</v>
      </c>
      <c r="J43">
        <f>J$28*'01_Recursos'!$P$12</f>
        <v>71.72604767546251</v>
      </c>
      <c r="K43">
        <f>K$28*'01_Recursos'!$P$12</f>
        <v>9.547704118439075</v>
      </c>
      <c r="L43">
        <f>L$28*'01_Recursos'!$P$12</f>
        <v>247.83851038748242</v>
      </c>
      <c r="M43">
        <f>M$28*'01_Recursos'!$P$12</f>
        <v>437.28655068135902</v>
      </c>
      <c r="N43">
        <f>N$28*'01_Recursos'!$P$12</f>
        <v>0</v>
      </c>
      <c r="O43">
        <f>O$28*'01_Recursos'!$P$12</f>
        <v>58.432420735160449</v>
      </c>
      <c r="P43">
        <f>P$28*'01_Recursos'!$P$12</f>
        <v>154.87904185406788</v>
      </c>
      <c r="Q43">
        <f>Q$28*'01_Recursos'!$P$12</f>
        <v>2420.2016198720175</v>
      </c>
      <c r="R43">
        <f>R$28*'01_Recursos'!$P$12</f>
        <v>126.97976288468372</v>
      </c>
      <c r="S43">
        <f>S$28*'01_Recursos'!$P$12</f>
        <v>43.539951244816024</v>
      </c>
      <c r="T43">
        <f>T$28*'01_Recursos'!$P$12</f>
        <v>0</v>
      </c>
    </row>
    <row r="44" spans="1:20" x14ac:dyDescent="0.25">
      <c r="A44" t="s">
        <v>80</v>
      </c>
      <c r="B44">
        <f>B$29*'01_Recursos'!$P$13</f>
        <v>0</v>
      </c>
      <c r="C44">
        <f>C$29*'01_Recursos'!$P$13</f>
        <v>0</v>
      </c>
      <c r="D44">
        <f>D$29*'01_Recursos'!$P$13</f>
        <v>0</v>
      </c>
      <c r="E44">
        <f>E$29*'01_Recursos'!$P$13</f>
        <v>0</v>
      </c>
      <c r="F44">
        <f>F$29*'01_Recursos'!$P$13</f>
        <v>0</v>
      </c>
      <c r="G44">
        <f>G$29*'01_Recursos'!$P$13</f>
        <v>0</v>
      </c>
      <c r="H44">
        <f>H$29*'01_Recursos'!$P$13</f>
        <v>0</v>
      </c>
      <c r="I44">
        <f>I$29*'01_Recursos'!$P$13</f>
        <v>0</v>
      </c>
      <c r="J44">
        <f>J$29*'01_Recursos'!$P$13</f>
        <v>0</v>
      </c>
      <c r="K44">
        <f>K$29*'01_Recursos'!$P$13</f>
        <v>0</v>
      </c>
      <c r="L44">
        <f>L$29*'01_Recursos'!$P$13</f>
        <v>0</v>
      </c>
      <c r="M44">
        <f>M$29*'01_Recursos'!$P$13</f>
        <v>0</v>
      </c>
      <c r="N44">
        <f>N$29*'01_Recursos'!$P$13</f>
        <v>0</v>
      </c>
      <c r="O44">
        <f>O$29*'01_Recursos'!$P$13</f>
        <v>0</v>
      </c>
      <c r="P44">
        <f>P$29*'01_Recursos'!$P$13</f>
        <v>422.67170853339798</v>
      </c>
      <c r="Q44">
        <f>Q$29*'01_Recursos'!$P$13</f>
        <v>0</v>
      </c>
      <c r="R44">
        <f>R$29*'01_Recursos'!$P$13</f>
        <v>0</v>
      </c>
      <c r="S44">
        <f>S$29*'01_Recursos'!$P$13</f>
        <v>0</v>
      </c>
      <c r="T44">
        <f>T$29*'01_Recursos'!$P$13</f>
        <v>0</v>
      </c>
    </row>
    <row r="46" spans="1:20" ht="15.75" x14ac:dyDescent="0.25">
      <c r="A46" s="1" t="s">
        <v>150</v>
      </c>
    </row>
    <row r="47" spans="1:20" ht="90" x14ac:dyDescent="0.25">
      <c r="A47" s="2" t="s">
        <v>131</v>
      </c>
      <c r="B47" s="2" t="s">
        <v>69</v>
      </c>
      <c r="C47" s="2" t="s">
        <v>70</v>
      </c>
      <c r="D47" s="2" t="s">
        <v>71</v>
      </c>
      <c r="E47" s="2" t="s">
        <v>72</v>
      </c>
      <c r="F47" s="2" t="s">
        <v>73</v>
      </c>
      <c r="G47" s="2" t="s">
        <v>74</v>
      </c>
      <c r="H47" s="2" t="s">
        <v>75</v>
      </c>
      <c r="I47" s="2" t="s">
        <v>76</v>
      </c>
      <c r="J47" s="2" t="s">
        <v>77</v>
      </c>
      <c r="K47" s="2" t="s">
        <v>78</v>
      </c>
      <c r="L47" s="2" t="s">
        <v>79</v>
      </c>
      <c r="M47" s="2" t="s">
        <v>80</v>
      </c>
      <c r="N47" s="2" t="s">
        <v>92</v>
      </c>
      <c r="O47" s="2" t="s">
        <v>93</v>
      </c>
      <c r="P47" s="2" t="s">
        <v>95</v>
      </c>
      <c r="Q47" s="2" t="s">
        <v>96</v>
      </c>
      <c r="R47" s="2" t="s">
        <v>97</v>
      </c>
      <c r="S47" s="2" t="s">
        <v>98</v>
      </c>
      <c r="T47" s="2" t="s">
        <v>99</v>
      </c>
    </row>
    <row r="48" spans="1:20" x14ac:dyDescent="0.25">
      <c r="A48" t="s">
        <v>69</v>
      </c>
      <c r="B48">
        <f>B$18*'01_Recursos'!$O$2</f>
        <v>6.8703925529936543</v>
      </c>
      <c r="C48">
        <f>C$18*'01_Recursos'!$O$2</f>
        <v>2.3889037870906824E-4</v>
      </c>
      <c r="D48">
        <f>D$18*'01_Recursos'!$O$2</f>
        <v>32.495844845854101</v>
      </c>
      <c r="E48">
        <f>E$18*'01_Recursos'!$O$2</f>
        <v>5.4269722941287374E-3</v>
      </c>
      <c r="F48">
        <f>F$18*'01_Recursos'!$O$2</f>
        <v>0.20307431136395573</v>
      </c>
      <c r="G48">
        <f>G$18*'01_Recursos'!$O$2</f>
        <v>1.305360725145603</v>
      </c>
      <c r="H48">
        <f>H$18*'01_Recursos'!$O$2</f>
        <v>0</v>
      </c>
      <c r="I48">
        <f>I$18*'01_Recursos'!$O$2</f>
        <v>0</v>
      </c>
      <c r="J48">
        <f>J$18*'01_Recursos'!$O$2</f>
        <v>0</v>
      </c>
      <c r="K48">
        <f>K$18*'01_Recursos'!$O$2</f>
        <v>0</v>
      </c>
      <c r="L48">
        <f>L$18*'01_Recursos'!$O$2</f>
        <v>1.3862325017760346</v>
      </c>
      <c r="M48">
        <f>M$18*'01_Recursos'!$O$2</f>
        <v>0.92230687001307599</v>
      </c>
      <c r="N48">
        <f>N$18*'01_Recursos'!$O$2</f>
        <v>0</v>
      </c>
      <c r="O48">
        <f>O$18*'01_Recursos'!$O$2</f>
        <v>25.919922144411998</v>
      </c>
      <c r="P48">
        <f>P$18*'01_Recursos'!$O$2</f>
        <v>2.4890368636676489E-2</v>
      </c>
      <c r="Q48">
        <f>Q$18*'01_Recursos'!$O$2</f>
        <v>60.706728366661046</v>
      </c>
      <c r="R48">
        <f>R$18*'01_Recursos'!$O$2</f>
        <v>0</v>
      </c>
      <c r="S48">
        <f>S$18*'01_Recursos'!$O$2</f>
        <v>3.4220057341924277</v>
      </c>
      <c r="T48">
        <f>T$18*'01_Recursos'!$O$2</f>
        <v>16.814362480755602</v>
      </c>
    </row>
    <row r="49" spans="1:23" x14ac:dyDescent="0.25">
      <c r="A49" t="s">
        <v>70</v>
      </c>
      <c r="B49">
        <f>B$19*'01_Recursos'!$O$3</f>
        <v>1.1382196037831698</v>
      </c>
      <c r="C49">
        <f>C$19*'01_Recursos'!$O$3</f>
        <v>0.64212845307387889</v>
      </c>
      <c r="D49">
        <f>D$19*'01_Recursos'!$O$3</f>
        <v>19.284150199904815</v>
      </c>
      <c r="E49">
        <f>E$19*'01_Recursos'!$O$3</f>
        <v>0.51696973198312757</v>
      </c>
      <c r="F49">
        <f>F$19*'01_Recursos'!$O$3</f>
        <v>13.083870655601903</v>
      </c>
      <c r="G49">
        <f>G$19*'01_Recursos'!$O$3</f>
        <v>7.0229045891818581E-2</v>
      </c>
      <c r="H49">
        <f>H$19*'01_Recursos'!$O$3</f>
        <v>5.9180720477552094E-4</v>
      </c>
      <c r="I49">
        <f>I$19*'01_Recursos'!$O$3</f>
        <v>0</v>
      </c>
      <c r="J49">
        <f>J$19*'01_Recursos'!$O$3</f>
        <v>0</v>
      </c>
      <c r="K49">
        <f>K$19*'01_Recursos'!$O$3</f>
        <v>0.76103936034084063</v>
      </c>
      <c r="L49">
        <f>L$19*'01_Recursos'!$O$3</f>
        <v>5.2735873179631396E-2</v>
      </c>
      <c r="M49">
        <f>M$19*'01_Recursos'!$O$3</f>
        <v>0.26004590450487219</v>
      </c>
      <c r="N49">
        <f>N$19*'01_Recursos'!$O$3</f>
        <v>0</v>
      </c>
      <c r="O49">
        <f>O$19*'01_Recursos'!$O$3</f>
        <v>11.305365424911617</v>
      </c>
      <c r="P49">
        <f>P$19*'01_Recursos'!$O$3</f>
        <v>0</v>
      </c>
      <c r="Q49">
        <f>Q$19*'01_Recursos'!$O$3</f>
        <v>0</v>
      </c>
      <c r="R49">
        <f>R$19*'01_Recursos'!$O$3</f>
        <v>0</v>
      </c>
      <c r="S49">
        <f>S$19*'01_Recursos'!$O$3</f>
        <v>0</v>
      </c>
      <c r="T49">
        <f>T$19*'01_Recursos'!$O$3</f>
        <v>7.7617360415526626</v>
      </c>
    </row>
    <row r="50" spans="1:23" x14ac:dyDescent="0.25">
      <c r="A50" t="s">
        <v>71</v>
      </c>
      <c r="B50">
        <f>B$20*'01_Recursos'!$O$4</f>
        <v>190.46741230267452</v>
      </c>
      <c r="C50">
        <f>C$20*'01_Recursos'!$O$4</f>
        <v>4.8960852646067856</v>
      </c>
      <c r="D50">
        <f>D$20*'01_Recursos'!$O$4</f>
        <v>295.1512980854875</v>
      </c>
      <c r="E50">
        <f>E$20*'01_Recursos'!$O$4</f>
        <v>34.2269938934867</v>
      </c>
      <c r="F50">
        <f>F$20*'01_Recursos'!$O$4</f>
        <v>165.58096823024479</v>
      </c>
      <c r="G50">
        <f>G$20*'01_Recursos'!$O$4</f>
        <v>75.577077901104943</v>
      </c>
      <c r="H50">
        <f>H$20*'01_Recursos'!$O$4</f>
        <v>63.174498253143682</v>
      </c>
      <c r="I50">
        <f>I$20*'01_Recursos'!$O$4</f>
        <v>5.1957968838682342</v>
      </c>
      <c r="J50">
        <f>J$20*'01_Recursos'!$O$4</f>
        <v>2.6168231029081053</v>
      </c>
      <c r="K50">
        <f>K$20*'01_Recursos'!$O$4</f>
        <v>4.3694448892410493</v>
      </c>
      <c r="L50">
        <f>L$20*'01_Recursos'!$O$4</f>
        <v>99.775490193451873</v>
      </c>
      <c r="M50">
        <f>M$20*'01_Recursos'!$O$4</f>
        <v>79.598744814591839</v>
      </c>
      <c r="N50">
        <f>N$20*'01_Recursos'!$O$4</f>
        <v>0</v>
      </c>
      <c r="O50">
        <f>O$20*'01_Recursos'!$O$4</f>
        <v>414.01051396901147</v>
      </c>
      <c r="P50">
        <f>P$20*'01_Recursos'!$O$4</f>
        <v>9.1863083288249641</v>
      </c>
      <c r="Q50">
        <f>Q$20*'01_Recursos'!$O$4</f>
        <v>1893.6579465712468</v>
      </c>
      <c r="R50">
        <f>R$20*'01_Recursos'!$O$4</f>
        <v>0</v>
      </c>
      <c r="S50">
        <f>S$20*'01_Recursos'!$O$4</f>
        <v>189.75618117640931</v>
      </c>
      <c r="T50">
        <f>T$20*'01_Recursos'!$O$4</f>
        <v>175.89786272275688</v>
      </c>
    </row>
    <row r="51" spans="1:23" x14ac:dyDescent="0.25">
      <c r="A51" t="s">
        <v>72</v>
      </c>
      <c r="B51">
        <f>B$21*'01_Recursos'!$O$5</f>
        <v>1.6499780690322268</v>
      </c>
      <c r="C51">
        <f>C$21*'01_Recursos'!$O$5</f>
        <v>8.4208890248423665E-2</v>
      </c>
      <c r="D51">
        <f>D$21*'01_Recursos'!$O$5</f>
        <v>1.4598002548925524</v>
      </c>
      <c r="E51">
        <f>E$21*'01_Recursos'!$O$5</f>
        <v>15.777337117675742</v>
      </c>
      <c r="F51">
        <f>F$21*'01_Recursos'!$O$5</f>
        <v>0.11734156865227446</v>
      </c>
      <c r="G51">
        <f>G$21*'01_Recursos'!$O$5</f>
        <v>2.7240139203152061</v>
      </c>
      <c r="H51">
        <f>H$21*'01_Recursos'!$O$5</f>
        <v>0.27829916616760964</v>
      </c>
      <c r="I51">
        <f>I$21*'01_Recursos'!$O$5</f>
        <v>0.23171644383834406</v>
      </c>
      <c r="J51">
        <f>J$21*'01_Recursos'!$O$5</f>
        <v>0.13790896249655821</v>
      </c>
      <c r="K51">
        <f>K$21*'01_Recursos'!$O$5</f>
        <v>7.5876638319337955E-2</v>
      </c>
      <c r="L51">
        <f>L$21*'01_Recursos'!$O$5</f>
        <v>2.3106337414452107</v>
      </c>
      <c r="M51">
        <f>M$21*'01_Recursos'!$O$5</f>
        <v>4.0723201571521104</v>
      </c>
      <c r="N51">
        <f>N$21*'01_Recursos'!$O$5</f>
        <v>0</v>
      </c>
      <c r="O51">
        <f>O$21*'01_Recursos'!$O$5</f>
        <v>6.5431263350296156</v>
      </c>
      <c r="P51">
        <f>P$21*'01_Recursos'!$O$5</f>
        <v>0</v>
      </c>
      <c r="Q51">
        <f>Q$21*'01_Recursos'!$O$5</f>
        <v>13.013844442313822</v>
      </c>
      <c r="R51">
        <f>R$21*'01_Recursos'!$O$5</f>
        <v>0</v>
      </c>
      <c r="S51">
        <f>S$21*'01_Recursos'!$O$5</f>
        <v>0</v>
      </c>
      <c r="T51">
        <f>T$21*'01_Recursos'!$O$5</f>
        <v>1.7816255101465634E-2</v>
      </c>
    </row>
    <row r="52" spans="1:23" x14ac:dyDescent="0.25">
      <c r="A52" t="s">
        <v>73</v>
      </c>
      <c r="B52">
        <f>B$22*'01_Recursos'!$O$6</f>
        <v>1.5332086406661517E-2</v>
      </c>
      <c r="C52">
        <f>C$22*'01_Recursos'!$O$6</f>
        <v>5.5300293954649158E-5</v>
      </c>
      <c r="D52">
        <f>D$22*'01_Recursos'!$O$6</f>
        <v>9.0819348881218745E-3</v>
      </c>
      <c r="E52">
        <f>E$22*'01_Recursos'!$O$6</f>
        <v>0.31695980161717946</v>
      </c>
      <c r="F52">
        <f>F$22*'01_Recursos'!$O$6</f>
        <v>2.8283324185214718</v>
      </c>
      <c r="G52">
        <f>G$22*'01_Recursos'!$O$6</f>
        <v>4.4832398666754265E-2</v>
      </c>
      <c r="H52">
        <f>H$22*'01_Recursos'!$O$6</f>
        <v>3.3497170436882245E-2</v>
      </c>
      <c r="I52">
        <f>I$22*'01_Recursos'!$O$6</f>
        <v>0.13619743778130514</v>
      </c>
      <c r="J52">
        <f>J$22*'01_Recursos'!$O$6</f>
        <v>1.9688965436955034E-2</v>
      </c>
      <c r="K52">
        <f>K$22*'01_Recursos'!$O$6</f>
        <v>4.2261778715622374E-2</v>
      </c>
      <c r="L52">
        <f>L$22*'01_Recursos'!$O$6</f>
        <v>9.9678455244016764E-2</v>
      </c>
      <c r="M52">
        <f>M$22*'01_Recursos'!$O$6</f>
        <v>1.4559757957048565</v>
      </c>
      <c r="N52">
        <f>N$22*'01_Recursos'!$O$6</f>
        <v>0</v>
      </c>
      <c r="O52">
        <f>O$22*'01_Recursos'!$O$6</f>
        <v>0</v>
      </c>
      <c r="P52">
        <f>P$22*'01_Recursos'!$O$6</f>
        <v>0</v>
      </c>
      <c r="Q52">
        <f>Q$22*'01_Recursos'!$O$6</f>
        <v>0</v>
      </c>
      <c r="R52">
        <f>R$22*'01_Recursos'!$O$6</f>
        <v>0</v>
      </c>
      <c r="S52">
        <f>S$22*'01_Recursos'!$O$6</f>
        <v>19.52639307701072</v>
      </c>
      <c r="T52">
        <f>T$22*'01_Recursos'!$O$6</f>
        <v>0</v>
      </c>
    </row>
    <row r="53" spans="1:23" x14ac:dyDescent="0.25">
      <c r="A53" t="s">
        <v>74</v>
      </c>
      <c r="B53">
        <f>B$23*'01_Recursos'!$O$7</f>
        <v>3.0743650593156695E-2</v>
      </c>
      <c r="C53">
        <f>C$23*'01_Recursos'!$O$7</f>
        <v>1.5067491246600192E-3</v>
      </c>
      <c r="D53">
        <f>D$23*'01_Recursos'!$O$7</f>
        <v>0.5915129850387657</v>
      </c>
      <c r="E53">
        <f>E$23*'01_Recursos'!$O$7</f>
        <v>9.2420583034919651E-2</v>
      </c>
      <c r="F53">
        <f>F$23*'01_Recursos'!$O$7</f>
        <v>3.9843057016233988E-2</v>
      </c>
      <c r="G53">
        <f>G$23*'01_Recursos'!$O$7</f>
        <v>0.53287660172861229</v>
      </c>
      <c r="H53">
        <f>H$23*'01_Recursos'!$O$7</f>
        <v>0.35275251738039137</v>
      </c>
      <c r="I53">
        <f>I$23*'01_Recursos'!$O$7</f>
        <v>0.1783022889805404</v>
      </c>
      <c r="J53">
        <f>J$23*'01_Recursos'!$O$7</f>
        <v>3.5698664884812412E-3</v>
      </c>
      <c r="K53">
        <f>K$23*'01_Recursos'!$O$7</f>
        <v>9.4617980322058944E-4</v>
      </c>
      <c r="L53">
        <f>L$23*'01_Recursos'!$O$7</f>
        <v>9.2772134128105602E-2</v>
      </c>
      <c r="M53">
        <f>M$23*'01_Recursos'!$O$7</f>
        <v>0.40149881379599417</v>
      </c>
      <c r="N53">
        <f>N$23*'01_Recursos'!$O$7</f>
        <v>0</v>
      </c>
      <c r="O53">
        <f>O$23*'01_Recursos'!$O$7</f>
        <v>0</v>
      </c>
      <c r="P53">
        <f>P$23*'01_Recursos'!$O$7</f>
        <v>0</v>
      </c>
      <c r="Q53">
        <f>Q$23*'01_Recursos'!$O$7</f>
        <v>3.6582874299439081</v>
      </c>
      <c r="R53">
        <f>R$23*'01_Recursos'!$O$7</f>
        <v>0</v>
      </c>
      <c r="S53">
        <f>S$23*'01_Recursos'!$O$7</f>
        <v>0</v>
      </c>
      <c r="T53">
        <f>T$23*'01_Recursos'!$O$7</f>
        <v>0</v>
      </c>
    </row>
    <row r="54" spans="1:23" x14ac:dyDescent="0.25">
      <c r="A54" t="s">
        <v>75</v>
      </c>
      <c r="B54">
        <f>B$24*'01_Recursos'!$O$8</f>
        <v>3.8943493052504898</v>
      </c>
      <c r="C54">
        <f>C$24*'01_Recursos'!$O$8</f>
        <v>0.21646784764054131</v>
      </c>
      <c r="D54">
        <f>D$24*'01_Recursos'!$O$8</f>
        <v>14.075606651681841</v>
      </c>
      <c r="E54">
        <f>E$24*'01_Recursos'!$O$8</f>
        <v>0.78027181022774894</v>
      </c>
      <c r="F54">
        <f>F$24*'01_Recursos'!$O$8</f>
        <v>1.2159141004910836</v>
      </c>
      <c r="G54">
        <f>G$24*'01_Recursos'!$O$8</f>
        <v>16.516667585460858</v>
      </c>
      <c r="H54">
        <f>H$24*'01_Recursos'!$O$8</f>
        <v>10.5895294067568</v>
      </c>
      <c r="I54">
        <f>I$24*'01_Recursos'!$O$8</f>
        <v>0.38200316837890425</v>
      </c>
      <c r="J54">
        <f>J$24*'01_Recursos'!$O$8</f>
        <v>0.97123570892821276</v>
      </c>
      <c r="K54">
        <f>K$24*'01_Recursos'!$O$8</f>
        <v>6.5832710070349035E-2</v>
      </c>
      <c r="L54">
        <f>L$24*'01_Recursos'!$O$8</f>
        <v>4.6230657907405188</v>
      </c>
      <c r="M54">
        <f>M$24*'01_Recursos'!$O$8</f>
        <v>7.1191387223500193</v>
      </c>
      <c r="N54">
        <f>N$24*'01_Recursos'!$O$8</f>
        <v>0</v>
      </c>
      <c r="O54">
        <f>O$24*'01_Recursos'!$O$8</f>
        <v>0</v>
      </c>
      <c r="P54">
        <f>P$24*'01_Recursos'!$O$8</f>
        <v>0</v>
      </c>
      <c r="Q54">
        <f>Q$24*'01_Recursos'!$O$8</f>
        <v>40.892469778018636</v>
      </c>
      <c r="R54">
        <f>R$24*'01_Recursos'!$O$8</f>
        <v>0</v>
      </c>
      <c r="S54">
        <f>S$24*'01_Recursos'!$O$8</f>
        <v>0</v>
      </c>
      <c r="T54">
        <f>T$24*'01_Recursos'!$O$8</f>
        <v>0</v>
      </c>
    </row>
    <row r="55" spans="1:23" x14ac:dyDescent="0.25">
      <c r="A55" t="s">
        <v>76</v>
      </c>
      <c r="B55">
        <f>B$25*'01_Recursos'!$O$9</f>
        <v>2.9772462608414606E-2</v>
      </c>
      <c r="C55">
        <f>C$25*'01_Recursos'!$O$9</f>
        <v>1.1031191275693708E-2</v>
      </c>
      <c r="D55">
        <f>D$25*'01_Recursos'!$O$9</f>
        <v>2.3532285615909805</v>
      </c>
      <c r="E55">
        <f>E$25*'01_Recursos'!$O$9</f>
        <v>1.9846775015267115</v>
      </c>
      <c r="F55">
        <f>F$25*'01_Recursos'!$O$9</f>
        <v>0.80783097883352828</v>
      </c>
      <c r="G55">
        <f>G$25*'01_Recursos'!$O$9</f>
        <v>7.4412187347998913</v>
      </c>
      <c r="H55">
        <f>H$25*'01_Recursos'!$O$9</f>
        <v>1.5335317221511071</v>
      </c>
      <c r="I55">
        <f>I$25*'01_Recursos'!$O$9</f>
        <v>12.614515614069788</v>
      </c>
      <c r="J55">
        <f>J$25*'01_Recursos'!$O$9</f>
        <v>5.0819371287261834</v>
      </c>
      <c r="K55">
        <f>K$25*'01_Recursos'!$O$9</f>
        <v>0.28861418939188915</v>
      </c>
      <c r="L55">
        <f>L$25*'01_Recursos'!$O$9</f>
        <v>9.8780439902534081</v>
      </c>
      <c r="M55">
        <f>M$25*'01_Recursos'!$O$9</f>
        <v>19.269969062463598</v>
      </c>
      <c r="N55">
        <f>N$25*'01_Recursos'!$O$9</f>
        <v>0</v>
      </c>
      <c r="O55">
        <f>O$25*'01_Recursos'!$O$9</f>
        <v>1.2871069738393111</v>
      </c>
      <c r="P55">
        <f>P$25*'01_Recursos'!$O$9</f>
        <v>0</v>
      </c>
      <c r="Q55">
        <f>Q$25*'01_Recursos'!$O$9</f>
        <v>39.795150750880623</v>
      </c>
      <c r="R55">
        <f>R$25*'01_Recursos'!$O$9</f>
        <v>0</v>
      </c>
      <c r="S55">
        <f>S$25*'01_Recursos'!$O$9</f>
        <v>5.3182767018141446</v>
      </c>
      <c r="T55">
        <f>T$25*'01_Recursos'!$O$9</f>
        <v>-2.199430810827779E-2</v>
      </c>
    </row>
    <row r="56" spans="1:23" x14ac:dyDescent="0.25">
      <c r="A56" t="s">
        <v>77</v>
      </c>
      <c r="B56">
        <f>B$26*'01_Recursos'!$O$10</f>
        <v>3.8869775291364599</v>
      </c>
      <c r="C56">
        <f>C$26*'01_Recursos'!$O$10</f>
        <v>0.21776757798017718</v>
      </c>
      <c r="D56">
        <f>D$26*'01_Recursos'!$O$10</f>
        <v>5.4526861906559363</v>
      </c>
      <c r="E56">
        <f>E$26*'01_Recursos'!$O$10</f>
        <v>3.8978533141752973</v>
      </c>
      <c r="F56">
        <f>F$26*'01_Recursos'!$O$10</f>
        <v>2.8833500579336828</v>
      </c>
      <c r="G56">
        <f>G$26*'01_Recursos'!$O$10</f>
        <v>7.3367809887485214</v>
      </c>
      <c r="H56">
        <f>H$26*'01_Recursos'!$O$10</f>
        <v>2.1192147660368263</v>
      </c>
      <c r="I56">
        <f>I$26*'01_Recursos'!$O$10</f>
        <v>1.9897460231033623</v>
      </c>
      <c r="J56">
        <f>J$26*'01_Recursos'!$O$10</f>
        <v>10.908635648943678</v>
      </c>
      <c r="K56">
        <f>K$26*'01_Recursos'!$O$10</f>
        <v>4.5654179585316124</v>
      </c>
      <c r="L56">
        <f>L$26*'01_Recursos'!$O$10</f>
        <v>4.4351019824280389</v>
      </c>
      <c r="M56">
        <f>M$26*'01_Recursos'!$O$10</f>
        <v>19.977478422057231</v>
      </c>
      <c r="N56">
        <f>N$26*'01_Recursos'!$O$10</f>
        <v>0</v>
      </c>
      <c r="O56">
        <f>O$26*'01_Recursos'!$O$10</f>
        <v>0</v>
      </c>
      <c r="P56">
        <f>P$26*'01_Recursos'!$O$10</f>
        <v>0.23059990501590524</v>
      </c>
      <c r="Q56">
        <f>Q$26*'01_Recursos'!$O$10</f>
        <v>113.33296501207528</v>
      </c>
      <c r="R56">
        <f>R$26*'01_Recursos'!$O$10</f>
        <v>0</v>
      </c>
      <c r="S56">
        <f>S$26*'01_Recursos'!$O$10</f>
        <v>0</v>
      </c>
      <c r="T56">
        <f>T$26*'01_Recursos'!$O$10</f>
        <v>0</v>
      </c>
    </row>
    <row r="57" spans="1:23" x14ac:dyDescent="0.25">
      <c r="A57" t="s">
        <v>78</v>
      </c>
      <c r="B57">
        <f>B$27*'01_Recursos'!$O$11</f>
        <v>1.5163210728316853E-3</v>
      </c>
      <c r="C57">
        <f>C$27*'01_Recursos'!$O$11</f>
        <v>2.951338616556456E-3</v>
      </c>
      <c r="D57">
        <f>D$27*'01_Recursos'!$O$11</f>
        <v>0.14029847663951012</v>
      </c>
      <c r="E57">
        <f>E$27*'01_Recursos'!$O$11</f>
        <v>0.14993062711199942</v>
      </c>
      <c r="F57">
        <f>F$27*'01_Recursos'!$O$11</f>
        <v>8.7484558835186799E-2</v>
      </c>
      <c r="G57">
        <f>G$27*'01_Recursos'!$O$11</f>
        <v>2.3866331213704211</v>
      </c>
      <c r="H57">
        <f>H$27*'01_Recursos'!$O$11</f>
        <v>0.29139967409561096</v>
      </c>
      <c r="I57">
        <f>I$27*'01_Recursos'!$O$11</f>
        <v>0.16320684031282173</v>
      </c>
      <c r="J57">
        <f>J$27*'01_Recursos'!$O$11</f>
        <v>0.1460744658127634</v>
      </c>
      <c r="K57">
        <f>K$27*'01_Recursos'!$O$11</f>
        <v>8.1224607253404676E-2</v>
      </c>
      <c r="L57">
        <f>L$27*'01_Recursos'!$O$11</f>
        <v>1.2230198628999351</v>
      </c>
      <c r="M57">
        <f>M$27*'01_Recursos'!$O$11</f>
        <v>0.33921133606624448</v>
      </c>
      <c r="N57">
        <f>N$27*'01_Recursos'!$O$11</f>
        <v>0</v>
      </c>
      <c r="O57">
        <f>O$27*'01_Recursos'!$O$11</f>
        <v>2.5028619644698834E-2</v>
      </c>
      <c r="P57">
        <f>P$27*'01_Recursos'!$O$11</f>
        <v>0</v>
      </c>
      <c r="Q57">
        <f>Q$27*'01_Recursos'!$O$11</f>
        <v>23.777310927938611</v>
      </c>
      <c r="R57">
        <f>R$27*'01_Recursos'!$O$11</f>
        <v>0</v>
      </c>
      <c r="S57">
        <f>S$27*'01_Recursos'!$O$11</f>
        <v>0</v>
      </c>
      <c r="T57">
        <f>T$27*'01_Recursos'!$O$11</f>
        <v>0</v>
      </c>
    </row>
    <row r="58" spans="1:23" x14ac:dyDescent="0.25">
      <c r="A58" t="s">
        <v>79</v>
      </c>
      <c r="B58">
        <f>B$28*'01_Recursos'!$O$12</f>
        <v>2.357817259541187</v>
      </c>
      <c r="C58">
        <f>C$28*'01_Recursos'!$O$12</f>
        <v>0.70130047658268446</v>
      </c>
      <c r="D58">
        <f>D$28*'01_Recursos'!$O$12</f>
        <v>25.682586629836976</v>
      </c>
      <c r="E58">
        <f>E$28*'01_Recursos'!$O$12</f>
        <v>16.023111568694649</v>
      </c>
      <c r="F58">
        <f>F$28*'01_Recursos'!$O$12</f>
        <v>10.019773446271802</v>
      </c>
      <c r="G58">
        <f>G$28*'01_Recursos'!$O$12</f>
        <v>55.918340694186107</v>
      </c>
      <c r="H58">
        <f>H$28*'01_Recursos'!$O$12</f>
        <v>10.326819275770244</v>
      </c>
      <c r="I58">
        <f>I$28*'01_Recursos'!$O$12</f>
        <v>18.947787430440929</v>
      </c>
      <c r="J58">
        <f>J$28*'01_Recursos'!$O$12</f>
        <v>14.637015902202791</v>
      </c>
      <c r="K58">
        <f>K$28*'01_Recursos'!$O$12</f>
        <v>1.9483841859437667</v>
      </c>
      <c r="L58">
        <f>L$28*'01_Recursos'!$O$12</f>
        <v>50.575994848254268</v>
      </c>
      <c r="M58">
        <f>M$28*'01_Recursos'!$O$12</f>
        <v>89.236343052150289</v>
      </c>
      <c r="N58">
        <f>N$28*'01_Recursos'!$O$12</f>
        <v>0</v>
      </c>
      <c r="O58">
        <f>O$28*'01_Recursos'!$O$12</f>
        <v>11.9242074423869</v>
      </c>
      <c r="P58">
        <f>P$28*'01_Recursos'!$O$12</f>
        <v>31.605909875213339</v>
      </c>
      <c r="Q58">
        <f>Q$28*'01_Recursos'!$O$12</f>
        <v>493.88654114734408</v>
      </c>
      <c r="R58">
        <f>R$28*'01_Recursos'!$O$12</f>
        <v>25.912550166024058</v>
      </c>
      <c r="S58">
        <f>S$28*'01_Recursos'!$O$12</f>
        <v>8.8851258281379568</v>
      </c>
      <c r="T58">
        <f>T$28*'01_Recursos'!$O$12</f>
        <v>0</v>
      </c>
    </row>
    <row r="59" spans="1:23" x14ac:dyDescent="0.25">
      <c r="A59" t="s">
        <v>80</v>
      </c>
      <c r="B59">
        <f>B$29*'01_Recursos'!$O$13</f>
        <v>0</v>
      </c>
      <c r="C59">
        <f>C$29*'01_Recursos'!$O$13</f>
        <v>0</v>
      </c>
      <c r="D59">
        <f>D$29*'01_Recursos'!$O$13</f>
        <v>0</v>
      </c>
      <c r="E59">
        <f>E$29*'01_Recursos'!$O$13</f>
        <v>0</v>
      </c>
      <c r="F59">
        <f>F$29*'01_Recursos'!$O$13</f>
        <v>0</v>
      </c>
      <c r="G59">
        <f>G$29*'01_Recursos'!$O$13</f>
        <v>0</v>
      </c>
      <c r="H59">
        <f>H$29*'01_Recursos'!$O$13</f>
        <v>0</v>
      </c>
      <c r="I59">
        <f>I$29*'01_Recursos'!$O$13</f>
        <v>0</v>
      </c>
      <c r="J59">
        <f>J$29*'01_Recursos'!$O$13</f>
        <v>0</v>
      </c>
      <c r="K59">
        <f>K$29*'01_Recursos'!$O$13</f>
        <v>0</v>
      </c>
      <c r="L59">
        <f>L$29*'01_Recursos'!$O$13</f>
        <v>0</v>
      </c>
      <c r="M59">
        <f>M$29*'01_Recursos'!$O$13</f>
        <v>0</v>
      </c>
      <c r="N59">
        <f>N$29*'01_Recursos'!$O$13</f>
        <v>0</v>
      </c>
      <c r="O59">
        <f>O$29*'01_Recursos'!$O$13</f>
        <v>0</v>
      </c>
      <c r="P59">
        <f>P$29*'01_Recursos'!$O$13</f>
        <v>0</v>
      </c>
      <c r="Q59">
        <f>Q$29*'01_Recursos'!$O$13</f>
        <v>0</v>
      </c>
      <c r="R59">
        <f>R$29*'01_Recursos'!$O$13</f>
        <v>0</v>
      </c>
      <c r="S59">
        <f>S$29*'01_Recursos'!$O$13</f>
        <v>0</v>
      </c>
      <c r="T59">
        <f>T$29*'01_Recursos'!$O$13</f>
        <v>0</v>
      </c>
    </row>
    <row r="61" spans="1:23" ht="15.75" x14ac:dyDescent="0.25">
      <c r="A61" s="1" t="s">
        <v>151</v>
      </c>
    </row>
    <row r="62" spans="1:23" ht="90" x14ac:dyDescent="0.25">
      <c r="A62" s="2" t="s">
        <v>131</v>
      </c>
      <c r="B62" s="2" t="s">
        <v>69</v>
      </c>
      <c r="C62" s="2" t="s">
        <v>70</v>
      </c>
      <c r="D62" s="2" t="s">
        <v>71</v>
      </c>
      <c r="E62" s="2" t="s">
        <v>72</v>
      </c>
      <c r="F62" s="2" t="s">
        <v>73</v>
      </c>
      <c r="G62" s="2" t="s">
        <v>74</v>
      </c>
      <c r="H62" s="2" t="s">
        <v>75</v>
      </c>
      <c r="I62" s="2" t="s">
        <v>76</v>
      </c>
      <c r="J62" s="2" t="s">
        <v>77</v>
      </c>
      <c r="K62" s="2" t="s">
        <v>78</v>
      </c>
      <c r="L62" s="2" t="s">
        <v>79</v>
      </c>
      <c r="M62" s="2" t="s">
        <v>80</v>
      </c>
      <c r="N62" s="2" t="s">
        <v>92</v>
      </c>
      <c r="O62" s="2" t="s">
        <v>93</v>
      </c>
      <c r="P62" s="2" t="s">
        <v>95</v>
      </c>
      <c r="Q62" s="2" t="s">
        <v>96</v>
      </c>
      <c r="R62" s="2" t="s">
        <v>97</v>
      </c>
      <c r="S62" s="2" t="s">
        <v>98</v>
      </c>
      <c r="T62" s="2" t="s">
        <v>99</v>
      </c>
      <c r="U62" s="2" t="s">
        <v>145</v>
      </c>
      <c r="V62" s="2" t="s">
        <v>152</v>
      </c>
      <c r="W62" s="2" t="s">
        <v>110</v>
      </c>
    </row>
    <row r="63" spans="1:23" x14ac:dyDescent="0.25">
      <c r="A63" t="s">
        <v>69</v>
      </c>
      <c r="B63">
        <f t="shared" ref="B63:T63" si="14">B$33+B$48</f>
        <v>46.119567292153761</v>
      </c>
      <c r="C63">
        <f t="shared" si="14"/>
        <v>1.6036232007616907E-3</v>
      </c>
      <c r="D63">
        <f t="shared" si="14"/>
        <v>218.13808913010743</v>
      </c>
      <c r="E63">
        <f t="shared" si="14"/>
        <v>3.6430176584693837E-2</v>
      </c>
      <c r="F63">
        <f t="shared" si="14"/>
        <v>1.3631971238931317</v>
      </c>
      <c r="G63">
        <f t="shared" si="14"/>
        <v>8.7626247466245566</v>
      </c>
      <c r="H63">
        <f t="shared" si="14"/>
        <v>0</v>
      </c>
      <c r="I63">
        <f t="shared" si="14"/>
        <v>0</v>
      </c>
      <c r="J63">
        <f t="shared" si="14"/>
        <v>0</v>
      </c>
      <c r="K63">
        <f t="shared" si="14"/>
        <v>0</v>
      </c>
      <c r="L63">
        <f t="shared" si="14"/>
        <v>9.3055007636169229</v>
      </c>
      <c r="M63">
        <f t="shared" si="14"/>
        <v>6.1912610418525889</v>
      </c>
      <c r="N63">
        <f t="shared" si="14"/>
        <v>0</v>
      </c>
      <c r="O63">
        <f t="shared" si="14"/>
        <v>173.99523889296745</v>
      </c>
      <c r="P63">
        <f t="shared" si="14"/>
        <v>0.16708405268131626</v>
      </c>
      <c r="Q63">
        <f t="shared" si="14"/>
        <v>407.51209227088094</v>
      </c>
      <c r="R63">
        <f t="shared" si="14"/>
        <v>0</v>
      </c>
      <c r="S63">
        <f t="shared" si="14"/>
        <v>22.971238181063722</v>
      </c>
      <c r="T63">
        <f t="shared" si="14"/>
        <v>112.87144306884987</v>
      </c>
      <c r="U63">
        <f t="shared" ref="U63:U74" si="15">SUM(B63:T63)</f>
        <v>1007.4353703644773</v>
      </c>
      <c r="V63">
        <f>'01_Recursos'!$Q$2</f>
        <v>1007.43537036448</v>
      </c>
      <c r="W63">
        <f t="shared" ref="W63:W74" si="16">U63-V63</f>
        <v>-2.7284841053187847E-12</v>
      </c>
    </row>
    <row r="64" spans="1:23" x14ac:dyDescent="0.25">
      <c r="A64" t="s">
        <v>70</v>
      </c>
      <c r="B64">
        <f t="shared" ref="B64:T64" si="17">B$34+B$49</f>
        <v>1.7221286433148482</v>
      </c>
      <c r="C64">
        <f t="shared" si="17"/>
        <v>0.97154169375617327</v>
      </c>
      <c r="D64">
        <f t="shared" si="17"/>
        <v>29.176959622607487</v>
      </c>
      <c r="E64">
        <f t="shared" si="17"/>
        <v>0.7821762867339821</v>
      </c>
      <c r="F64">
        <f t="shared" si="17"/>
        <v>19.79592369218323</v>
      </c>
      <c r="G64">
        <f t="shared" si="17"/>
        <v>0.10625669345439723</v>
      </c>
      <c r="H64">
        <f t="shared" si="17"/>
        <v>8.9540553973639994E-4</v>
      </c>
      <c r="I64">
        <f t="shared" si="17"/>
        <v>0</v>
      </c>
      <c r="J64">
        <f t="shared" si="17"/>
        <v>0</v>
      </c>
      <c r="K64">
        <f t="shared" si="17"/>
        <v>1.1514541453835667</v>
      </c>
      <c r="L64">
        <f t="shared" si="17"/>
        <v>7.9789486520004865E-2</v>
      </c>
      <c r="M64">
        <f t="shared" si="17"/>
        <v>0.39344999790556234</v>
      </c>
      <c r="N64">
        <f t="shared" si="17"/>
        <v>0</v>
      </c>
      <c r="O64">
        <f t="shared" si="17"/>
        <v>17.105041554960358</v>
      </c>
      <c r="P64">
        <f t="shared" si="17"/>
        <v>0</v>
      </c>
      <c r="Q64">
        <f t="shared" si="17"/>
        <v>0</v>
      </c>
      <c r="R64">
        <f t="shared" si="17"/>
        <v>0</v>
      </c>
      <c r="S64">
        <f t="shared" si="17"/>
        <v>0</v>
      </c>
      <c r="T64">
        <f t="shared" si="17"/>
        <v>11.743522879573771</v>
      </c>
      <c r="U64">
        <f t="shared" si="15"/>
        <v>83.029140101933123</v>
      </c>
      <c r="V64">
        <f>'01_Recursos'!$Q$3</f>
        <v>83.029140101933095</v>
      </c>
      <c r="W64">
        <f t="shared" si="16"/>
        <v>0</v>
      </c>
    </row>
    <row r="65" spans="1:23" x14ac:dyDescent="0.25">
      <c r="A65" t="s">
        <v>71</v>
      </c>
      <c r="B65">
        <f t="shared" ref="B65:T65" si="18">B$35+B$50</f>
        <v>1248.3186110210545</v>
      </c>
      <c r="C65">
        <f t="shared" si="18"/>
        <v>32.088819200431658</v>
      </c>
      <c r="D65">
        <f t="shared" si="18"/>
        <v>1934.4141552237768</v>
      </c>
      <c r="E65">
        <f t="shared" si="18"/>
        <v>224.32285376275613</v>
      </c>
      <c r="F65">
        <f t="shared" si="18"/>
        <v>1085.2134849411093</v>
      </c>
      <c r="G65">
        <f t="shared" si="18"/>
        <v>495.33026027892635</v>
      </c>
      <c r="H65">
        <f t="shared" si="18"/>
        <v>414.04406642536708</v>
      </c>
      <c r="I65">
        <f t="shared" si="18"/>
        <v>34.053121585496761</v>
      </c>
      <c r="J65">
        <f t="shared" si="18"/>
        <v>17.150592542933296</v>
      </c>
      <c r="K65">
        <f t="shared" si="18"/>
        <v>28.637231477701135</v>
      </c>
      <c r="L65">
        <f t="shared" si="18"/>
        <v>653.92604344468089</v>
      </c>
      <c r="M65">
        <f t="shared" si="18"/>
        <v>521.68816368476166</v>
      </c>
      <c r="N65">
        <f t="shared" si="18"/>
        <v>0</v>
      </c>
      <c r="O65">
        <f t="shared" si="18"/>
        <v>2713.4144549862826</v>
      </c>
      <c r="P65">
        <f t="shared" si="18"/>
        <v>60.206832837245919</v>
      </c>
      <c r="Q65">
        <f t="shared" si="18"/>
        <v>12410.986367874373</v>
      </c>
      <c r="R65">
        <f t="shared" si="18"/>
        <v>0</v>
      </c>
      <c r="S65">
        <f t="shared" si="18"/>
        <v>1243.6572201777567</v>
      </c>
      <c r="T65">
        <f t="shared" si="18"/>
        <v>1152.8301509484029</v>
      </c>
      <c r="U65">
        <f t="shared" si="15"/>
        <v>24270.282430413059</v>
      </c>
      <c r="V65">
        <f>'01_Recursos'!$Q$4</f>
        <v>24270.282430413099</v>
      </c>
      <c r="W65">
        <f t="shared" si="16"/>
        <v>-4.0017766878008842E-11</v>
      </c>
    </row>
    <row r="66" spans="1:23" x14ac:dyDescent="0.25">
      <c r="A66" t="s">
        <v>72</v>
      </c>
      <c r="B66">
        <f t="shared" ref="B66:T66" si="19">B$36+B$51</f>
        <v>1.6499780690322268</v>
      </c>
      <c r="C66">
        <f t="shared" si="19"/>
        <v>8.4208890248423665E-2</v>
      </c>
      <c r="D66">
        <f t="shared" si="19"/>
        <v>1.4598002548925524</v>
      </c>
      <c r="E66">
        <f t="shared" si="19"/>
        <v>15.777337117675742</v>
      </c>
      <c r="F66">
        <f t="shared" si="19"/>
        <v>0.11734156865227446</v>
      </c>
      <c r="G66">
        <f t="shared" si="19"/>
        <v>2.7240139203152061</v>
      </c>
      <c r="H66">
        <f t="shared" si="19"/>
        <v>0.27829916616760964</v>
      </c>
      <c r="I66">
        <f t="shared" si="19"/>
        <v>0.23171644383834406</v>
      </c>
      <c r="J66">
        <f t="shared" si="19"/>
        <v>0.13790896249655821</v>
      </c>
      <c r="K66">
        <f t="shared" si="19"/>
        <v>7.5876638319337955E-2</v>
      </c>
      <c r="L66">
        <f t="shared" si="19"/>
        <v>2.3106337414452107</v>
      </c>
      <c r="M66">
        <f t="shared" si="19"/>
        <v>4.0723201571521104</v>
      </c>
      <c r="N66">
        <f t="shared" si="19"/>
        <v>0</v>
      </c>
      <c r="O66">
        <f t="shared" si="19"/>
        <v>6.5431263350296156</v>
      </c>
      <c r="P66">
        <f t="shared" si="19"/>
        <v>0</v>
      </c>
      <c r="Q66">
        <f t="shared" si="19"/>
        <v>13.013844442313822</v>
      </c>
      <c r="R66">
        <f t="shared" si="19"/>
        <v>0</v>
      </c>
      <c r="S66">
        <f t="shared" si="19"/>
        <v>0</v>
      </c>
      <c r="T66">
        <f t="shared" si="19"/>
        <v>1.7816255101465634E-2</v>
      </c>
      <c r="U66">
        <f t="shared" si="15"/>
        <v>48.494221962680498</v>
      </c>
      <c r="V66">
        <f>'01_Recursos'!$Q$5</f>
        <v>48.494221962680498</v>
      </c>
      <c r="W66">
        <f t="shared" si="16"/>
        <v>0</v>
      </c>
    </row>
    <row r="67" spans="1:23" x14ac:dyDescent="0.25">
      <c r="A67" t="s">
        <v>73</v>
      </c>
      <c r="B67">
        <f t="shared" ref="B67:T67" si="20">B$37+B$52</f>
        <v>0.11666015860627579</v>
      </c>
      <c r="C67">
        <f t="shared" si="20"/>
        <v>4.2077385246929301E-4</v>
      </c>
      <c r="D67">
        <f t="shared" si="20"/>
        <v>6.9103443353921726E-2</v>
      </c>
      <c r="E67">
        <f t="shared" si="20"/>
        <v>2.4117122580530332</v>
      </c>
      <c r="F67">
        <f t="shared" si="20"/>
        <v>21.520470194625798</v>
      </c>
      <c r="G67">
        <f t="shared" si="20"/>
        <v>0.34112478891919967</v>
      </c>
      <c r="H67">
        <f t="shared" si="20"/>
        <v>0.25487628443903582</v>
      </c>
      <c r="I67">
        <f t="shared" si="20"/>
        <v>1.0363113194060811</v>
      </c>
      <c r="J67">
        <f t="shared" si="20"/>
        <v>0.1498111717965982</v>
      </c>
      <c r="K67">
        <f t="shared" si="20"/>
        <v>0.32156522453498071</v>
      </c>
      <c r="L67">
        <f t="shared" si="20"/>
        <v>0.75844239915992007</v>
      </c>
      <c r="M67">
        <f t="shared" si="20"/>
        <v>11.07835964060498</v>
      </c>
      <c r="N67">
        <f t="shared" si="20"/>
        <v>0</v>
      </c>
      <c r="O67">
        <f t="shared" si="20"/>
        <v>0</v>
      </c>
      <c r="P67">
        <f t="shared" si="20"/>
        <v>0</v>
      </c>
      <c r="Q67">
        <f t="shared" si="20"/>
        <v>0</v>
      </c>
      <c r="R67">
        <f t="shared" si="20"/>
        <v>0</v>
      </c>
      <c r="S67">
        <f t="shared" si="20"/>
        <v>148.57417659626719</v>
      </c>
      <c r="T67">
        <f t="shared" si="20"/>
        <v>0</v>
      </c>
      <c r="U67">
        <f t="shared" si="15"/>
        <v>186.63303425361948</v>
      </c>
      <c r="V67">
        <f>'01_Recursos'!$Q$6</f>
        <v>186.63303425362</v>
      </c>
      <c r="W67">
        <f t="shared" si="16"/>
        <v>-5.1159076974727213E-13</v>
      </c>
    </row>
    <row r="68" spans="1:23" x14ac:dyDescent="0.25">
      <c r="A68" t="s">
        <v>74</v>
      </c>
      <c r="B68">
        <f t="shared" ref="B68:T68" si="21">B$38+B$53</f>
        <v>9.9070519505416339</v>
      </c>
      <c r="C68">
        <f t="shared" si="21"/>
        <v>0.48554552131693424</v>
      </c>
      <c r="D68">
        <f t="shared" si="21"/>
        <v>190.61333833606059</v>
      </c>
      <c r="E68">
        <f t="shared" si="21"/>
        <v>29.782263971933926</v>
      </c>
      <c r="F68">
        <f t="shared" si="21"/>
        <v>12.8393091943377</v>
      </c>
      <c r="G68">
        <f t="shared" si="21"/>
        <v>171.7179344254115</v>
      </c>
      <c r="H68">
        <f t="shared" si="21"/>
        <v>113.67347234130288</v>
      </c>
      <c r="I68">
        <f t="shared" si="21"/>
        <v>57.457393827650996</v>
      </c>
      <c r="J68">
        <f t="shared" si="21"/>
        <v>1.1503790888696115</v>
      </c>
      <c r="K68">
        <f t="shared" si="21"/>
        <v>0.30490368854068967</v>
      </c>
      <c r="L68">
        <f t="shared" si="21"/>
        <v>29.895550288824285</v>
      </c>
      <c r="M68">
        <f t="shared" si="21"/>
        <v>129.38182452682295</v>
      </c>
      <c r="N68">
        <f t="shared" si="21"/>
        <v>0</v>
      </c>
      <c r="O68">
        <f t="shared" si="21"/>
        <v>0</v>
      </c>
      <c r="P68">
        <f t="shared" si="21"/>
        <v>0</v>
      </c>
      <c r="Q68">
        <f t="shared" si="21"/>
        <v>1178.8724799824231</v>
      </c>
      <c r="R68">
        <f t="shared" si="21"/>
        <v>0</v>
      </c>
      <c r="S68">
        <f t="shared" si="21"/>
        <v>0</v>
      </c>
      <c r="T68">
        <f t="shared" si="21"/>
        <v>0</v>
      </c>
      <c r="U68">
        <f t="shared" si="15"/>
        <v>1926.0814471440367</v>
      </c>
      <c r="V68">
        <f>'01_Recursos'!$Q$7</f>
        <v>1926.0814471440401</v>
      </c>
      <c r="W68">
        <f t="shared" si="16"/>
        <v>-3.4106051316484809E-12</v>
      </c>
    </row>
    <row r="69" spans="1:23" x14ac:dyDescent="0.25">
      <c r="A69" t="s">
        <v>75</v>
      </c>
      <c r="B69">
        <f t="shared" ref="B69:T69" si="22">B$39+B$54</f>
        <v>29.610016753548418</v>
      </c>
      <c r="C69">
        <f t="shared" si="22"/>
        <v>1.6458761381777796</v>
      </c>
      <c r="D69">
        <f t="shared" si="22"/>
        <v>107.02146009623272</v>
      </c>
      <c r="E69">
        <f t="shared" si="22"/>
        <v>5.9326628307367839</v>
      </c>
      <c r="F69">
        <f t="shared" si="22"/>
        <v>9.2449942376447822</v>
      </c>
      <c r="G69">
        <f t="shared" si="22"/>
        <v>125.5816480711992</v>
      </c>
      <c r="H69">
        <f t="shared" si="22"/>
        <v>80.515669902418821</v>
      </c>
      <c r="I69">
        <f t="shared" si="22"/>
        <v>2.9044955470116429</v>
      </c>
      <c r="J69">
        <f t="shared" si="22"/>
        <v>7.3846240690931255</v>
      </c>
      <c r="K69">
        <f t="shared" si="22"/>
        <v>0.50054771550318045</v>
      </c>
      <c r="L69">
        <f t="shared" si="22"/>
        <v>35.150687518457836</v>
      </c>
      <c r="M69">
        <f t="shared" si="22"/>
        <v>54.129149780019688</v>
      </c>
      <c r="N69">
        <f t="shared" si="22"/>
        <v>0</v>
      </c>
      <c r="O69">
        <f t="shared" si="22"/>
        <v>0</v>
      </c>
      <c r="P69">
        <f t="shared" si="22"/>
        <v>0</v>
      </c>
      <c r="Q69">
        <f t="shared" si="22"/>
        <v>310.91887766426805</v>
      </c>
      <c r="R69">
        <f t="shared" si="22"/>
        <v>0</v>
      </c>
      <c r="S69">
        <f t="shared" si="22"/>
        <v>0</v>
      </c>
      <c r="T69">
        <f t="shared" si="22"/>
        <v>0</v>
      </c>
      <c r="U69">
        <f t="shared" si="15"/>
        <v>770.54071032431216</v>
      </c>
      <c r="V69">
        <f>'01_Recursos'!$Q$8</f>
        <v>770.54071032431295</v>
      </c>
      <c r="W69">
        <f t="shared" si="16"/>
        <v>0</v>
      </c>
    </row>
    <row r="70" spans="1:23" x14ac:dyDescent="0.25">
      <c r="A70" t="s">
        <v>76</v>
      </c>
      <c r="B70">
        <f t="shared" ref="B70:T70" si="23">B$40+B$55</f>
        <v>0.11321238817986345</v>
      </c>
      <c r="C70">
        <f t="shared" si="23"/>
        <v>4.1947067839702021E-2</v>
      </c>
      <c r="D70">
        <f t="shared" si="23"/>
        <v>8.9483570403572479</v>
      </c>
      <c r="E70">
        <f t="shared" si="23"/>
        <v>7.5469094602600775</v>
      </c>
      <c r="F70">
        <f t="shared" si="23"/>
        <v>3.0718478199909498</v>
      </c>
      <c r="G70">
        <f t="shared" si="23"/>
        <v>28.295883851319005</v>
      </c>
      <c r="H70">
        <f t="shared" si="23"/>
        <v>5.8313882495308533</v>
      </c>
      <c r="I70">
        <f t="shared" si="23"/>
        <v>47.967796859282558</v>
      </c>
      <c r="J70">
        <f t="shared" si="23"/>
        <v>19.324509580890407</v>
      </c>
      <c r="K70">
        <f t="shared" si="23"/>
        <v>1.0974806509427379</v>
      </c>
      <c r="L70">
        <f t="shared" si="23"/>
        <v>37.562124618010799</v>
      </c>
      <c r="M70">
        <f t="shared" si="23"/>
        <v>73.275739612382679</v>
      </c>
      <c r="N70">
        <f t="shared" si="23"/>
        <v>0</v>
      </c>
      <c r="O70">
        <f t="shared" si="23"/>
        <v>4.89433663139849</v>
      </c>
      <c r="P70">
        <f t="shared" si="23"/>
        <v>0</v>
      </c>
      <c r="Q70">
        <f t="shared" si="23"/>
        <v>151.32453481397758</v>
      </c>
      <c r="R70">
        <f t="shared" si="23"/>
        <v>0</v>
      </c>
      <c r="S70">
        <f t="shared" si="23"/>
        <v>20.223211439806679</v>
      </c>
      <c r="T70">
        <f t="shared" si="23"/>
        <v>-8.3635276666637087E-2</v>
      </c>
      <c r="U70">
        <f t="shared" si="15"/>
        <v>409.43564480750297</v>
      </c>
      <c r="V70">
        <f>'01_Recursos'!$Q$9</f>
        <v>409.43564480750302</v>
      </c>
      <c r="W70">
        <f t="shared" si="16"/>
        <v>0</v>
      </c>
    </row>
    <row r="71" spans="1:23" x14ac:dyDescent="0.25">
      <c r="A71" t="s">
        <v>77</v>
      </c>
      <c r="B71">
        <f t="shared" ref="B71:T71" si="24">B$41+B$56</f>
        <v>76.031293257298898</v>
      </c>
      <c r="C71">
        <f t="shared" si="24"/>
        <v>4.2596465915307027</v>
      </c>
      <c r="D71">
        <f t="shared" si="24"/>
        <v>106.65736544504502</v>
      </c>
      <c r="E71">
        <f t="shared" si="24"/>
        <v>76.244029244449024</v>
      </c>
      <c r="F71">
        <f t="shared" si="24"/>
        <v>56.399820213755937</v>
      </c>
      <c r="G71">
        <f t="shared" si="24"/>
        <v>143.51123533354769</v>
      </c>
      <c r="H71">
        <f t="shared" si="24"/>
        <v>41.452938213290956</v>
      </c>
      <c r="I71">
        <f t="shared" si="24"/>
        <v>38.920462558919233</v>
      </c>
      <c r="J71">
        <f t="shared" si="24"/>
        <v>213.37856209478082</v>
      </c>
      <c r="K71">
        <f t="shared" si="24"/>
        <v>89.301939371996241</v>
      </c>
      <c r="L71">
        <f t="shared" si="24"/>
        <v>86.75289139809577</v>
      </c>
      <c r="M71">
        <f t="shared" si="24"/>
        <v>390.76982284130662</v>
      </c>
      <c r="N71">
        <f t="shared" si="24"/>
        <v>0</v>
      </c>
      <c r="O71">
        <f t="shared" si="24"/>
        <v>0</v>
      </c>
      <c r="P71">
        <f t="shared" si="24"/>
        <v>4.5106535532930376</v>
      </c>
      <c r="Q71">
        <f t="shared" si="24"/>
        <v>2216.8514826651526</v>
      </c>
      <c r="R71">
        <f t="shared" si="24"/>
        <v>0</v>
      </c>
      <c r="S71">
        <f t="shared" si="24"/>
        <v>0</v>
      </c>
      <c r="T71">
        <f t="shared" si="24"/>
        <v>0</v>
      </c>
      <c r="U71">
        <f t="shared" si="15"/>
        <v>3545.0421427824626</v>
      </c>
      <c r="V71">
        <f>'01_Recursos'!$Q$10</f>
        <v>3545.0421427824599</v>
      </c>
      <c r="W71">
        <f t="shared" si="16"/>
        <v>0</v>
      </c>
    </row>
    <row r="72" spans="1:23" x14ac:dyDescent="0.25">
      <c r="A72" t="s">
        <v>78</v>
      </c>
      <c r="B72">
        <f t="shared" ref="B72:T72" si="25">B$42+B$57</f>
        <v>1.0722688449063017E-2</v>
      </c>
      <c r="C72">
        <f t="shared" si="25"/>
        <v>2.0870437706128439E-2</v>
      </c>
      <c r="D72">
        <f t="shared" si="25"/>
        <v>0.99212289655398145</v>
      </c>
      <c r="E72">
        <f t="shared" si="25"/>
        <v>1.0602368009648202</v>
      </c>
      <c r="F72">
        <f t="shared" si="25"/>
        <v>0.61864844148186471</v>
      </c>
      <c r="G72">
        <f t="shared" si="25"/>
        <v>16.877113865389436</v>
      </c>
      <c r="H72">
        <f t="shared" si="25"/>
        <v>2.0606374042211639</v>
      </c>
      <c r="I72">
        <f t="shared" si="25"/>
        <v>1.1541197525945226</v>
      </c>
      <c r="J72">
        <f t="shared" si="25"/>
        <v>1.0329678953472095</v>
      </c>
      <c r="K72">
        <f t="shared" si="25"/>
        <v>0.57438109486224831</v>
      </c>
      <c r="L72">
        <f t="shared" si="25"/>
        <v>8.6486043041014007</v>
      </c>
      <c r="M72">
        <f t="shared" si="25"/>
        <v>2.398738328048347</v>
      </c>
      <c r="N72">
        <f t="shared" si="25"/>
        <v>0</v>
      </c>
      <c r="O72">
        <f t="shared" si="25"/>
        <v>0.17699027967673303</v>
      </c>
      <c r="P72">
        <f t="shared" si="25"/>
        <v>0</v>
      </c>
      <c r="Q72">
        <f t="shared" si="25"/>
        <v>168.14163029513463</v>
      </c>
      <c r="R72">
        <f t="shared" si="25"/>
        <v>0</v>
      </c>
      <c r="S72">
        <f t="shared" si="25"/>
        <v>0</v>
      </c>
      <c r="T72">
        <f t="shared" si="25"/>
        <v>0</v>
      </c>
      <c r="U72">
        <f t="shared" si="15"/>
        <v>203.76778448453155</v>
      </c>
      <c r="V72">
        <f>'01_Recursos'!$Q$11</f>
        <v>203.76778448453101</v>
      </c>
      <c r="W72">
        <f t="shared" si="16"/>
        <v>5.4001247917767614E-13</v>
      </c>
    </row>
    <row r="73" spans="1:23" x14ac:dyDescent="0.25">
      <c r="A73" t="s">
        <v>79</v>
      </c>
      <c r="B73">
        <f t="shared" ref="B73:T73" si="26">B$43+B$58</f>
        <v>13.911874063047724</v>
      </c>
      <c r="C73">
        <f t="shared" si="26"/>
        <v>4.137896552878817</v>
      </c>
      <c r="D73">
        <f t="shared" si="26"/>
        <v>151.53545482024833</v>
      </c>
      <c r="E73">
        <f t="shared" si="26"/>
        <v>94.541470226246389</v>
      </c>
      <c r="F73">
        <f t="shared" si="26"/>
        <v>59.119860014905456</v>
      </c>
      <c r="G73">
        <f t="shared" si="26"/>
        <v>329.93605013456079</v>
      </c>
      <c r="H73">
        <f t="shared" si="26"/>
        <v>60.931528368032019</v>
      </c>
      <c r="I73">
        <f t="shared" si="26"/>
        <v>111.79799089136671</v>
      </c>
      <c r="J73">
        <f t="shared" si="26"/>
        <v>86.363063577665301</v>
      </c>
      <c r="K73">
        <f t="shared" si="26"/>
        <v>11.496088304382841</v>
      </c>
      <c r="L73">
        <f t="shared" si="26"/>
        <v>298.41450523573667</v>
      </c>
      <c r="M73">
        <f t="shared" si="26"/>
        <v>526.52289373350936</v>
      </c>
      <c r="N73">
        <f t="shared" si="26"/>
        <v>0</v>
      </c>
      <c r="O73">
        <f t="shared" si="26"/>
        <v>70.35662817754735</v>
      </c>
      <c r="P73">
        <f t="shared" si="26"/>
        <v>186.48495172928122</v>
      </c>
      <c r="Q73">
        <f t="shared" si="26"/>
        <v>2914.0881610193615</v>
      </c>
      <c r="R73">
        <f t="shared" si="26"/>
        <v>152.89231305070777</v>
      </c>
      <c r="S73">
        <f t="shared" si="26"/>
        <v>52.425077072953982</v>
      </c>
      <c r="T73">
        <f t="shared" si="26"/>
        <v>0</v>
      </c>
      <c r="U73">
        <f t="shared" si="15"/>
        <v>5124.9558069724317</v>
      </c>
      <c r="V73">
        <f>'01_Recursos'!$Q$12</f>
        <v>5124.9558069724299</v>
      </c>
      <c r="W73">
        <f t="shared" si="16"/>
        <v>0</v>
      </c>
    </row>
    <row r="74" spans="1:23" x14ac:dyDescent="0.25">
      <c r="A74" t="s">
        <v>80</v>
      </c>
      <c r="B74">
        <f t="shared" ref="B74:T74" si="27">B$44+B$59</f>
        <v>0</v>
      </c>
      <c r="C74">
        <f t="shared" si="27"/>
        <v>0</v>
      </c>
      <c r="D74">
        <f t="shared" si="27"/>
        <v>0</v>
      </c>
      <c r="E74">
        <f t="shared" si="27"/>
        <v>0</v>
      </c>
      <c r="F74">
        <f t="shared" si="27"/>
        <v>0</v>
      </c>
      <c r="G74">
        <f t="shared" si="27"/>
        <v>0</v>
      </c>
      <c r="H74">
        <f t="shared" si="27"/>
        <v>0</v>
      </c>
      <c r="I74">
        <f t="shared" si="27"/>
        <v>0</v>
      </c>
      <c r="J74">
        <f t="shared" si="27"/>
        <v>0</v>
      </c>
      <c r="K74">
        <f t="shared" si="27"/>
        <v>0</v>
      </c>
      <c r="L74">
        <f t="shared" si="27"/>
        <v>0</v>
      </c>
      <c r="M74">
        <f t="shared" si="27"/>
        <v>0</v>
      </c>
      <c r="N74">
        <f t="shared" si="27"/>
        <v>0</v>
      </c>
      <c r="O74">
        <f t="shared" si="27"/>
        <v>0</v>
      </c>
      <c r="P74">
        <f t="shared" si="27"/>
        <v>422.67170853339798</v>
      </c>
      <c r="Q74">
        <f t="shared" si="27"/>
        <v>0</v>
      </c>
      <c r="R74">
        <f t="shared" si="27"/>
        <v>0</v>
      </c>
      <c r="S74">
        <f t="shared" si="27"/>
        <v>0</v>
      </c>
      <c r="T74">
        <f t="shared" si="27"/>
        <v>0</v>
      </c>
      <c r="U74">
        <f t="shared" si="15"/>
        <v>422.67170853339798</v>
      </c>
      <c r="V74">
        <f>'01_Recursos'!$Q$13</f>
        <v>422.67170853339798</v>
      </c>
      <c r="W74">
        <f t="shared" si="16"/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2"/>
  <sheetViews>
    <sheetView workbookViewId="0"/>
  </sheetViews>
  <sheetFormatPr defaultColWidth="11.42578125" defaultRowHeight="15" x14ac:dyDescent="0.25"/>
  <cols>
    <col min="1" max="1" width="44.7109375" customWidth="1"/>
    <col min="2" max="24" width="16.7109375" customWidth="1"/>
  </cols>
  <sheetData>
    <row r="1" spans="1:20" ht="15.75" x14ac:dyDescent="0.25">
      <c r="A1" s="1" t="s">
        <v>153</v>
      </c>
    </row>
    <row r="2" spans="1:20" ht="90" x14ac:dyDescent="0.25">
      <c r="A2" s="2" t="s">
        <v>131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92</v>
      </c>
      <c r="O2" s="2" t="s">
        <v>93</v>
      </c>
      <c r="P2" s="2" t="s">
        <v>95</v>
      </c>
      <c r="Q2" s="2" t="s">
        <v>96</v>
      </c>
      <c r="R2" s="2" t="s">
        <v>97</v>
      </c>
      <c r="S2" s="2" t="s">
        <v>98</v>
      </c>
      <c r="T2" s="2" t="s">
        <v>99</v>
      </c>
    </row>
    <row r="3" spans="1:20" x14ac:dyDescent="0.25">
      <c r="A3" t="s">
        <v>69</v>
      </c>
      <c r="B3">
        <f>'02_Usos'!$B$2</f>
        <v>336.52786208779497</v>
      </c>
      <c r="C3">
        <f>'02_Usos'!$C$2</f>
        <v>1.1701408296572E-2</v>
      </c>
      <c r="D3">
        <f>'02_Usos'!$D$2</f>
        <v>1591.7223227582399</v>
      </c>
      <c r="E3">
        <f>'02_Usos'!$E$2</f>
        <v>0.26582576900311899</v>
      </c>
      <c r="F3">
        <f>'02_Usos'!$F$2</f>
        <v>9.9470537267168506</v>
      </c>
      <c r="G3">
        <f>'02_Usos'!$G$2</f>
        <v>63.9396149052954</v>
      </c>
      <c r="H3">
        <f>'02_Usos'!$H$2</f>
        <v>0</v>
      </c>
      <c r="I3">
        <f>'02_Usos'!$I$2</f>
        <v>0</v>
      </c>
      <c r="J3">
        <f>'02_Usos'!$J$2</f>
        <v>0</v>
      </c>
      <c r="K3">
        <f>'02_Usos'!$K$2</f>
        <v>0</v>
      </c>
      <c r="L3">
        <f>'02_Usos'!$L$2</f>
        <v>67.900903271681699</v>
      </c>
      <c r="M3">
        <f>'02_Usos'!$M$2</f>
        <v>45.176743069672597</v>
      </c>
      <c r="N3">
        <f>'02_Usos'!$O$2</f>
        <v>2073.7753802310999</v>
      </c>
      <c r="O3">
        <f>'02_Usos'!$P$2</f>
        <v>1269.61828126404</v>
      </c>
      <c r="P3">
        <f>'02_Usos'!$R$2</f>
        <v>1.2191883475752801</v>
      </c>
      <c r="Q3">
        <f>'02_Usos'!$S$2</f>
        <v>2973.5572391238602</v>
      </c>
      <c r="R3">
        <f>'02_Usos'!$T$2</f>
        <v>0</v>
      </c>
      <c r="S3">
        <f>'02_Usos'!$U$2</f>
        <v>167.61782749635799</v>
      </c>
      <c r="T3">
        <f>'02_Usos'!$V$2</f>
        <v>823.60671742873296</v>
      </c>
    </row>
    <row r="4" spans="1:20" x14ac:dyDescent="0.25">
      <c r="A4" t="s">
        <v>70</v>
      </c>
      <c r="B4">
        <f>'02_Usos'!$B$3</f>
        <v>8.2404913965596105</v>
      </c>
      <c r="C4">
        <f>'02_Usos'!$C$3</f>
        <v>4.6488867134724297</v>
      </c>
      <c r="D4">
        <f>'02_Usos'!$D$3</f>
        <v>139.613544946948</v>
      </c>
      <c r="E4">
        <f>'02_Usos'!$E$3</f>
        <v>3.7427616028833</v>
      </c>
      <c r="F4">
        <f>'02_Usos'!$F$3</f>
        <v>94.724711481709306</v>
      </c>
      <c r="G4">
        <f>'02_Usos'!$G$3</f>
        <v>0.50844480848562801</v>
      </c>
      <c r="H4">
        <f>'02_Usos'!$H$3</f>
        <v>4.2845705373246203E-3</v>
      </c>
      <c r="I4">
        <f>'02_Usos'!$I$3</f>
        <v>0</v>
      </c>
      <c r="J4">
        <f>'02_Usos'!$J$3</f>
        <v>0</v>
      </c>
      <c r="K4">
        <f>'02_Usos'!$K$3</f>
        <v>5.5097788515392798</v>
      </c>
      <c r="L4">
        <f>'02_Usos'!$L$3</f>
        <v>0.38179759668732299</v>
      </c>
      <c r="M4">
        <f>'02_Usos'!$M$3</f>
        <v>1.88268242056318</v>
      </c>
      <c r="N4">
        <f>'02_Usos'!$O$3</f>
        <v>3.3882648635055199</v>
      </c>
      <c r="O4">
        <f>'02_Usos'!$P$3</f>
        <v>81.848675079307398</v>
      </c>
      <c r="P4">
        <f>'02_Usos'!$R$3</f>
        <v>0</v>
      </c>
      <c r="Q4">
        <f>'02_Usos'!$S$3</f>
        <v>0</v>
      </c>
      <c r="R4">
        <f>'02_Usos'!$T$3</f>
        <v>0</v>
      </c>
      <c r="S4">
        <f>'02_Usos'!$U$3</f>
        <v>0</v>
      </c>
      <c r="T4">
        <f>'02_Usos'!$V$3</f>
        <v>56.1934787102523</v>
      </c>
    </row>
    <row r="5" spans="1:20" x14ac:dyDescent="0.25">
      <c r="A5" t="s">
        <v>71</v>
      </c>
      <c r="B5">
        <f>'02_Usos'!$B$4</f>
        <v>2378.5486898015802</v>
      </c>
      <c r="C5">
        <f>'02_Usos'!$C$4</f>
        <v>61.142098012972099</v>
      </c>
      <c r="D5">
        <f>'02_Usos'!$D$4</f>
        <v>3685.83646339912</v>
      </c>
      <c r="E5">
        <f>'02_Usos'!$E$4</f>
        <v>427.42519834221702</v>
      </c>
      <c r="F5">
        <f>'02_Usos'!$F$4</f>
        <v>2067.76786789262</v>
      </c>
      <c r="G5">
        <f>'02_Usos'!$G$4</f>
        <v>943.80323356858503</v>
      </c>
      <c r="H5">
        <f>'02_Usos'!$H$4</f>
        <v>788.92036297579898</v>
      </c>
      <c r="I5">
        <f>'02_Usos'!$I$4</f>
        <v>64.884883567173802</v>
      </c>
      <c r="J5">
        <f>'02_Usos'!$J$4</f>
        <v>32.678772119681803</v>
      </c>
      <c r="K5">
        <f>'02_Usos'!$K$4</f>
        <v>54.5654361069858</v>
      </c>
      <c r="L5">
        <f>'02_Usos'!$L$4</f>
        <v>1245.99194478904</v>
      </c>
      <c r="M5">
        <f>'02_Usos'!$M$4</f>
        <v>994.02563356996495</v>
      </c>
      <c r="N5">
        <f>'02_Usos'!$O$4</f>
        <v>546.53567353606297</v>
      </c>
      <c r="O5">
        <f>'02_Usos'!$P$4</f>
        <v>5170.1451374799999</v>
      </c>
      <c r="P5">
        <f>'02_Usos'!$R$4</f>
        <v>114.718215444213</v>
      </c>
      <c r="Q5">
        <f>'02_Usos'!$S$4</f>
        <v>23647.9173696746</v>
      </c>
      <c r="R5">
        <f>'02_Usos'!$T$4</f>
        <v>0</v>
      </c>
      <c r="S5">
        <f>'02_Usos'!$U$4</f>
        <v>2369.6668666956102</v>
      </c>
      <c r="T5">
        <f>'02_Usos'!$V$4</f>
        <v>2196.60479375472</v>
      </c>
    </row>
    <row r="6" spans="1:20" x14ac:dyDescent="0.25">
      <c r="A6" t="s">
        <v>72</v>
      </c>
      <c r="B6">
        <f>'02_Usos'!$B$5</f>
        <v>154.809366555791</v>
      </c>
      <c r="C6">
        <f>'02_Usos'!$C$5</f>
        <v>7.90090801956591</v>
      </c>
      <c r="D6">
        <f>'02_Usos'!$D$5</f>
        <v>136.96591306237801</v>
      </c>
      <c r="E6">
        <f>'02_Usos'!$E$5</f>
        <v>1480.31032106818</v>
      </c>
      <c r="F6">
        <f>'02_Usos'!$F$5</f>
        <v>11.009585069440501</v>
      </c>
      <c r="G6">
        <f>'02_Usos'!$G$5</f>
        <v>255.58089371484701</v>
      </c>
      <c r="H6">
        <f>'02_Usos'!$H$5</f>
        <v>26.111448652576598</v>
      </c>
      <c r="I6">
        <f>'02_Usos'!$I$5</f>
        <v>21.7408198111474</v>
      </c>
      <c r="J6">
        <f>'02_Usos'!$J$5</f>
        <v>12.939322968687</v>
      </c>
      <c r="K6">
        <f>'02_Usos'!$K$5</f>
        <v>7.1191336024782901</v>
      </c>
      <c r="L6">
        <f>'02_Usos'!$L$5</f>
        <v>216.795454781638</v>
      </c>
      <c r="M6">
        <f>'02_Usos'!$M$5</f>
        <v>382.08586875998299</v>
      </c>
      <c r="N6">
        <f>'02_Usos'!$O$5</f>
        <v>0</v>
      </c>
      <c r="O6">
        <f>'02_Usos'!$P$5</f>
        <v>613.90951930323195</v>
      </c>
      <c r="P6">
        <f>'02_Usos'!$R$5</f>
        <v>0</v>
      </c>
      <c r="Q6">
        <f>'02_Usos'!$S$5</f>
        <v>1221.0253289923301</v>
      </c>
      <c r="R6">
        <f>'02_Usos'!$T$5</f>
        <v>0</v>
      </c>
      <c r="S6">
        <f>'02_Usos'!$U$5</f>
        <v>0</v>
      </c>
      <c r="T6">
        <f>'02_Usos'!$V$5</f>
        <v>1.6716120161960799</v>
      </c>
    </row>
    <row r="7" spans="1:20" x14ac:dyDescent="0.25">
      <c r="A7" t="s">
        <v>73</v>
      </c>
      <c r="B7">
        <f>'02_Usos'!$B$6</f>
        <v>3.8224894700507401</v>
      </c>
      <c r="C7">
        <f>'02_Usos'!$C$6</f>
        <v>1.37870858359182E-2</v>
      </c>
      <c r="D7">
        <f>'02_Usos'!$D$6</f>
        <v>2.2642450320687599</v>
      </c>
      <c r="E7">
        <f>'02_Usos'!$E$6</f>
        <v>79.022219936396397</v>
      </c>
      <c r="F7">
        <f>'02_Usos'!$F$6</f>
        <v>705.14022689724504</v>
      </c>
      <c r="G7">
        <f>'02_Usos'!$G$6</f>
        <v>11.1773027672429</v>
      </c>
      <c r="H7">
        <f>'02_Usos'!$H$6</f>
        <v>8.35128226357015</v>
      </c>
      <c r="I7">
        <f>'02_Usos'!$I$6</f>
        <v>33.955800793082702</v>
      </c>
      <c r="J7">
        <f>'02_Usos'!$J$6</f>
        <v>4.90871633923574</v>
      </c>
      <c r="K7">
        <f>'02_Usos'!$K$6</f>
        <v>10.536413625734101</v>
      </c>
      <c r="L7">
        <f>'02_Usos'!$L$6</f>
        <v>24.8511412899181</v>
      </c>
      <c r="M7">
        <f>'02_Usos'!$M$6</f>
        <v>362.99378963273199</v>
      </c>
      <c r="N7">
        <f>'02_Usos'!$O$6</f>
        <v>0</v>
      </c>
      <c r="O7">
        <f>'02_Usos'!$P$6</f>
        <v>0</v>
      </c>
      <c r="P7">
        <f>'02_Usos'!$R$6</f>
        <v>0</v>
      </c>
      <c r="Q7">
        <f>'02_Usos'!$S$6</f>
        <v>0</v>
      </c>
      <c r="R7">
        <f>'02_Usos'!$T$6</f>
        <v>0</v>
      </c>
      <c r="S7">
        <f>'02_Usos'!$U$6</f>
        <v>4868.1849257329804</v>
      </c>
      <c r="T7">
        <f>'02_Usos'!$V$6</f>
        <v>0</v>
      </c>
    </row>
    <row r="8" spans="1:20" x14ac:dyDescent="0.25">
      <c r="A8" t="s">
        <v>74</v>
      </c>
      <c r="B8">
        <f>'02_Usos'!$B$7</f>
        <v>4.0645390550857901</v>
      </c>
      <c r="C8">
        <f>'02_Usos'!$C$7</f>
        <v>0.19920343047224801</v>
      </c>
      <c r="D8">
        <f>'02_Usos'!$D$7</f>
        <v>78.202411974315197</v>
      </c>
      <c r="E8">
        <f>'02_Usos'!$E$7</f>
        <v>12.2186878263197</v>
      </c>
      <c r="F8">
        <f>'02_Usos'!$F$7</f>
        <v>5.2675481991244197</v>
      </c>
      <c r="G8">
        <f>'02_Usos'!$G$7</f>
        <v>70.4502463916713</v>
      </c>
      <c r="H8">
        <f>'02_Usos'!$H$7</f>
        <v>46.636503993822302</v>
      </c>
      <c r="I8">
        <f>'02_Usos'!$I$7</f>
        <v>23.572887513037099</v>
      </c>
      <c r="J8">
        <f>'02_Usos'!$J$7</f>
        <v>0.47196287636393303</v>
      </c>
      <c r="K8">
        <f>'02_Usos'!$K$7</f>
        <v>0.125092000758671</v>
      </c>
      <c r="L8">
        <f>'02_Usos'!$L$7</f>
        <v>12.265165493107601</v>
      </c>
      <c r="M8">
        <f>'02_Usos'!$M$7</f>
        <v>53.081126598793901</v>
      </c>
      <c r="N8">
        <f>'02_Usos'!$O$7</f>
        <v>26.9946915061625</v>
      </c>
      <c r="O8">
        <f>'02_Usos'!$P$7</f>
        <v>0</v>
      </c>
      <c r="P8">
        <f>'02_Usos'!$R$7</f>
        <v>0</v>
      </c>
      <c r="Q8">
        <f>'02_Usos'!$S$7</f>
        <v>483.65278185428701</v>
      </c>
      <c r="R8">
        <f>'02_Usos'!$T$7</f>
        <v>0</v>
      </c>
      <c r="S8">
        <f>'02_Usos'!$U$7</f>
        <v>0</v>
      </c>
      <c r="T8">
        <f>'02_Usos'!$V$7</f>
        <v>0</v>
      </c>
    </row>
    <row r="9" spans="1:20" x14ac:dyDescent="0.25">
      <c r="A9" t="s">
        <v>75</v>
      </c>
      <c r="B9">
        <f>'02_Usos'!$B$8</f>
        <v>112.141697401282</v>
      </c>
      <c r="C9">
        <f>'02_Usos'!$C$8</f>
        <v>6.2334089637218604</v>
      </c>
      <c r="D9">
        <f>'02_Usos'!$D$8</f>
        <v>405.32122266080302</v>
      </c>
      <c r="E9">
        <f>'02_Usos'!$E$8</f>
        <v>22.468710014106598</v>
      </c>
      <c r="F9">
        <f>'02_Usos'!$F$8</f>
        <v>35.013467060950397</v>
      </c>
      <c r="G9">
        <f>'02_Usos'!$G$8</f>
        <v>475.61402259142699</v>
      </c>
      <c r="H9">
        <f>'02_Usos'!$H$8</f>
        <v>304.93612906100498</v>
      </c>
      <c r="I9">
        <f>'02_Usos'!$I$8</f>
        <v>11.000164689110401</v>
      </c>
      <c r="J9">
        <f>'02_Usos'!$J$8</f>
        <v>27.967707167177601</v>
      </c>
      <c r="K9">
        <f>'02_Usos'!$K$8</f>
        <v>1.89571896949818</v>
      </c>
      <c r="L9">
        <f>'02_Usos'!$L$8</f>
        <v>133.12582008821499</v>
      </c>
      <c r="M9">
        <f>'02_Usos'!$M$8</f>
        <v>205.00274571753499</v>
      </c>
      <c r="N9">
        <f>'02_Usos'!$O$8</f>
        <v>16</v>
      </c>
      <c r="O9">
        <f>'02_Usos'!$P$8</f>
        <v>0</v>
      </c>
      <c r="P9">
        <f>'02_Usos'!$R$8</f>
        <v>0</v>
      </c>
      <c r="Q9">
        <f>'02_Usos'!$S$8</f>
        <v>1177.53971521121</v>
      </c>
      <c r="R9">
        <f>'02_Usos'!$T$8</f>
        <v>0</v>
      </c>
      <c r="S9">
        <f>'02_Usos'!$U$8</f>
        <v>0</v>
      </c>
      <c r="T9">
        <f>'02_Usos'!$V$8</f>
        <v>0</v>
      </c>
    </row>
    <row r="10" spans="1:20" x14ac:dyDescent="0.25">
      <c r="A10" t="s">
        <v>76</v>
      </c>
      <c r="B10">
        <f>'02_Usos'!$B$9</f>
        <v>0.61710296671491105</v>
      </c>
      <c r="C10">
        <f>'02_Usos'!$C$9</f>
        <v>0.22864688595515301</v>
      </c>
      <c r="D10">
        <f>'02_Usos'!$D$9</f>
        <v>48.776090369683601</v>
      </c>
      <c r="E10">
        <f>'02_Usos'!$E$9</f>
        <v>41.137019475786303</v>
      </c>
      <c r="F10">
        <f>'02_Usos'!$F$9</f>
        <v>16.744160541878902</v>
      </c>
      <c r="G10">
        <f>'02_Usos'!$G$9</f>
        <v>154.23642369179601</v>
      </c>
      <c r="H10">
        <f>'02_Usos'!$H$9</f>
        <v>31.785982494555501</v>
      </c>
      <c r="I10">
        <f>'02_Usos'!$I$9</f>
        <v>261.46493528264301</v>
      </c>
      <c r="J10">
        <f>'02_Usos'!$J$9</f>
        <v>105.334870012037</v>
      </c>
      <c r="K10">
        <f>'02_Usos'!$K$9</f>
        <v>5.9821948507348601</v>
      </c>
      <c r="L10">
        <f>'02_Usos'!$L$9</f>
        <v>204.745248382743</v>
      </c>
      <c r="M10">
        <f>'02_Usos'!$M$9</f>
        <v>399.41456080928702</v>
      </c>
      <c r="N10">
        <f>'02_Usos'!$O$9</f>
        <v>2.6752357825443198</v>
      </c>
      <c r="O10">
        <f>'02_Usos'!$P$9</f>
        <v>26.678261132863199</v>
      </c>
      <c r="P10">
        <f>'02_Usos'!$R$9</f>
        <v>0</v>
      </c>
      <c r="Q10">
        <f>'02_Usos'!$S$9</f>
        <v>824.84629881757905</v>
      </c>
      <c r="R10">
        <f>'02_Usos'!$T$9</f>
        <v>0</v>
      </c>
      <c r="S10">
        <f>'02_Usos'!$U$9</f>
        <v>110.23355285272</v>
      </c>
      <c r="T10">
        <f>'02_Usos'!$V$9</f>
        <v>-0.45588277204264499</v>
      </c>
    </row>
    <row r="11" spans="1:20" x14ac:dyDescent="0.25">
      <c r="A11" t="s">
        <v>77</v>
      </c>
      <c r="B11">
        <f>'02_Usos'!$B$10</f>
        <v>130.45602910459701</v>
      </c>
      <c r="C11">
        <f>'02_Usos'!$C$10</f>
        <v>7.3087876835066297</v>
      </c>
      <c r="D11">
        <f>'02_Usos'!$D$10</f>
        <v>183.00486253247701</v>
      </c>
      <c r="E11">
        <f>'02_Usos'!$E$10</f>
        <v>130.82104580946</v>
      </c>
      <c r="F11">
        <f>'02_Usos'!$F$10</f>
        <v>96.771951022856697</v>
      </c>
      <c r="G11">
        <f>'02_Usos'!$G$10</f>
        <v>246.23947708153301</v>
      </c>
      <c r="H11">
        <f>'02_Usos'!$H$10</f>
        <v>71.125788900151406</v>
      </c>
      <c r="I11">
        <f>'02_Usos'!$I$10</f>
        <v>66.780516006326394</v>
      </c>
      <c r="J11">
        <f>'02_Usos'!$J$10</f>
        <v>366.11924793560598</v>
      </c>
      <c r="K11">
        <f>'02_Usos'!$K$10</f>
        <v>153.22607182788801</v>
      </c>
      <c r="L11">
        <f>'02_Usos'!$L$10</f>
        <v>148.85236381338899</v>
      </c>
      <c r="M11">
        <f>'02_Usos'!$M$10</f>
        <v>670.49075713163495</v>
      </c>
      <c r="N11">
        <f>'02_Usos'!$O$10</f>
        <v>8.4055003505666299</v>
      </c>
      <c r="O11">
        <f>'02_Usos'!$P$10</f>
        <v>0</v>
      </c>
      <c r="P11">
        <f>'02_Usos'!$R$10</f>
        <v>7.7394704998347601</v>
      </c>
      <c r="Q11">
        <f>'02_Usos'!$S$10</f>
        <v>3803.7185631505899</v>
      </c>
      <c r="R11">
        <f>'02_Usos'!$T$10</f>
        <v>0</v>
      </c>
      <c r="S11">
        <f>'02_Usos'!$U$10</f>
        <v>0</v>
      </c>
      <c r="T11">
        <f>'02_Usos'!$V$10</f>
        <v>0</v>
      </c>
    </row>
    <row r="12" spans="1:20" x14ac:dyDescent="0.25">
      <c r="A12" t="s">
        <v>78</v>
      </c>
      <c r="B12">
        <f>'02_Usos'!$B$11</f>
        <v>0.235033528815382</v>
      </c>
      <c r="C12">
        <f>'02_Usos'!$C$11</f>
        <v>0.45746480887650998</v>
      </c>
      <c r="D12">
        <f>'02_Usos'!$D$11</f>
        <v>21.746612009043002</v>
      </c>
      <c r="E12">
        <f>'02_Usos'!$E$11</f>
        <v>23.239619233035601</v>
      </c>
      <c r="F12">
        <f>'02_Usos'!$F$11</f>
        <v>13.5603236994473</v>
      </c>
      <c r="G12">
        <f>'02_Usos'!$G$11</f>
        <v>369.934055889511</v>
      </c>
      <c r="H12">
        <f>'02_Usos'!$H$11</f>
        <v>45.167672550011503</v>
      </c>
      <c r="I12">
        <f>'02_Usos'!$I$11</f>
        <v>25.297465222122501</v>
      </c>
      <c r="J12">
        <f>'02_Usos'!$J$11</f>
        <v>22.641904663160101</v>
      </c>
      <c r="K12">
        <f>'02_Usos'!$K$11</f>
        <v>12.5900156711271</v>
      </c>
      <c r="L12">
        <f>'02_Usos'!$L$11</f>
        <v>189.571113492389</v>
      </c>
      <c r="M12">
        <f>'02_Usos'!$M$11</f>
        <v>52.578598793027297</v>
      </c>
      <c r="N12">
        <f>'02_Usos'!$O$11</f>
        <v>0</v>
      </c>
      <c r="O12">
        <f>'02_Usos'!$P$11</f>
        <v>3.8794981497461101</v>
      </c>
      <c r="P12">
        <f>'02_Usos'!$R$11</f>
        <v>0</v>
      </c>
      <c r="Q12">
        <f>'02_Usos'!$S$11</f>
        <v>3685.5421937107699</v>
      </c>
      <c r="R12">
        <f>'02_Usos'!$T$11</f>
        <v>0</v>
      </c>
      <c r="S12">
        <f>'02_Usos'!$U$11</f>
        <v>0</v>
      </c>
      <c r="T12">
        <f>'02_Usos'!$V$11</f>
        <v>0</v>
      </c>
    </row>
    <row r="13" spans="1:20" x14ac:dyDescent="0.25">
      <c r="A13" t="s">
        <v>79</v>
      </c>
      <c r="B13">
        <f>'02_Usos'!$B$12</f>
        <v>42.118355261147798</v>
      </c>
      <c r="C13">
        <f>'02_Usos'!$C$12</f>
        <v>12.5275283731147</v>
      </c>
      <c r="D13">
        <f>'02_Usos'!$D$12</f>
        <v>458.775294532864</v>
      </c>
      <c r="E13">
        <f>'02_Usos'!$E$12</f>
        <v>286.225364882863</v>
      </c>
      <c r="F13">
        <f>'02_Usos'!$F$12</f>
        <v>178.98604140696301</v>
      </c>
      <c r="G13">
        <f>'02_Usos'!$G$12</f>
        <v>998.88510419587396</v>
      </c>
      <c r="H13">
        <f>'02_Usos'!$H$12</f>
        <v>184.47088773079801</v>
      </c>
      <c r="I13">
        <f>'02_Usos'!$I$12</f>
        <v>338.46967536547601</v>
      </c>
      <c r="J13">
        <f>'02_Usos'!$J$12</f>
        <v>261.46514673152001</v>
      </c>
      <c r="K13">
        <f>'02_Usos'!$K$12</f>
        <v>34.804536694565797</v>
      </c>
      <c r="L13">
        <f>'02_Usos'!$L$12</f>
        <v>903.45327233683497</v>
      </c>
      <c r="M13">
        <f>'02_Usos'!$M$12</f>
        <v>1594.0539851707999</v>
      </c>
      <c r="N13">
        <f>'02_Usos'!$O$12</f>
        <v>39.490347986295099</v>
      </c>
      <c r="O13">
        <f>'02_Usos'!$P$12</f>
        <v>213.005483454559</v>
      </c>
      <c r="P13">
        <f>'02_Usos'!$R$12</f>
        <v>564.58528967384598</v>
      </c>
      <c r="Q13">
        <f>'02_Usos'!$S$12</f>
        <v>8822.4346965681198</v>
      </c>
      <c r="R13">
        <f>'02_Usos'!$T$12</f>
        <v>462.88319809283797</v>
      </c>
      <c r="S13">
        <f>'02_Usos'!$U$12</f>
        <v>158.717510721054</v>
      </c>
      <c r="T13">
        <f>'02_Usos'!$V$12</f>
        <v>0</v>
      </c>
    </row>
    <row r="14" spans="1:20" x14ac:dyDescent="0.25">
      <c r="A14" t="s">
        <v>80</v>
      </c>
      <c r="B14">
        <f>'02_Usos'!$B$13</f>
        <v>0</v>
      </c>
      <c r="C14">
        <f>'02_Usos'!$C$13</f>
        <v>0</v>
      </c>
      <c r="D14">
        <f>'02_Usos'!$D$13</f>
        <v>0</v>
      </c>
      <c r="E14">
        <f>'02_Usos'!$E$13</f>
        <v>0</v>
      </c>
      <c r="F14">
        <f>'02_Usos'!$F$13</f>
        <v>0</v>
      </c>
      <c r="G14">
        <f>'02_Usos'!$G$13</f>
        <v>0</v>
      </c>
      <c r="H14">
        <f>'02_Usos'!$H$13</f>
        <v>0</v>
      </c>
      <c r="I14">
        <f>'02_Usos'!$I$13</f>
        <v>0</v>
      </c>
      <c r="J14">
        <f>'02_Usos'!$J$13</f>
        <v>0</v>
      </c>
      <c r="K14">
        <f>'02_Usos'!$K$13</f>
        <v>0</v>
      </c>
      <c r="L14">
        <f>'02_Usos'!$L$13</f>
        <v>0</v>
      </c>
      <c r="M14">
        <f>'02_Usos'!$M$13</f>
        <v>0</v>
      </c>
      <c r="N14">
        <f>'02_Usos'!$O$13</f>
        <v>0</v>
      </c>
      <c r="O14">
        <f>'02_Usos'!$P$13</f>
        <v>0</v>
      </c>
      <c r="P14">
        <f>'02_Usos'!$R$13</f>
        <v>19737.216629487699</v>
      </c>
      <c r="Q14">
        <f>'02_Usos'!$S$13</f>
        <v>0</v>
      </c>
      <c r="R14">
        <f>'02_Usos'!$T$13</f>
        <v>0</v>
      </c>
      <c r="S14">
        <f>'02_Usos'!$U$13</f>
        <v>0</v>
      </c>
      <c r="T14">
        <f>'02_Usos'!$V$13</f>
        <v>0</v>
      </c>
    </row>
    <row r="16" spans="1:20" ht="15.75" x14ac:dyDescent="0.25">
      <c r="A16" s="1" t="s">
        <v>154</v>
      </c>
    </row>
    <row r="17" spans="1:23" ht="90" x14ac:dyDescent="0.25">
      <c r="A17" s="2" t="s">
        <v>131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73</v>
      </c>
      <c r="G17" s="2" t="s">
        <v>74</v>
      </c>
      <c r="H17" s="2" t="s">
        <v>75</v>
      </c>
      <c r="I17" s="2" t="s">
        <v>76</v>
      </c>
      <c r="J17" s="2" t="s">
        <v>77</v>
      </c>
      <c r="K17" s="2" t="s">
        <v>78</v>
      </c>
      <c r="L17" s="2" t="s">
        <v>79</v>
      </c>
      <c r="M17" s="2" t="s">
        <v>80</v>
      </c>
      <c r="N17" s="2" t="s">
        <v>92</v>
      </c>
      <c r="O17" s="2" t="s">
        <v>93</v>
      </c>
      <c r="P17" s="2" t="s">
        <v>95</v>
      </c>
      <c r="Q17" s="2" t="s">
        <v>96</v>
      </c>
      <c r="R17" s="2" t="s">
        <v>97</v>
      </c>
      <c r="S17" s="2" t="s">
        <v>98</v>
      </c>
      <c r="T17" s="2" t="s">
        <v>99</v>
      </c>
      <c r="U17" s="2" t="s">
        <v>145</v>
      </c>
      <c r="V17" s="2" t="s">
        <v>155</v>
      </c>
      <c r="W17" s="2" t="s">
        <v>110</v>
      </c>
    </row>
    <row r="18" spans="1:23" x14ac:dyDescent="0.25">
      <c r="A18" t="s">
        <v>69</v>
      </c>
      <c r="B18">
        <f>B$3-'06_M_comercio'!$B$20-'07_M_transporte'!$B$20-'08_M_impostos'!$B$33-'09_M_importacoes'!$B$63</f>
        <v>250.86309650256999</v>
      </c>
      <c r="C18">
        <f>C$3-'06_M_comercio'!$C$20-'07_M_transporte'!$C$20-'08_M_impostos'!$C$33-'09_M_importacoes'!$C$63</f>
        <v>8.7227592405204803E-3</v>
      </c>
      <c r="D18">
        <f>D$3-'06_M_comercio'!$D$20-'07_M_transporte'!$D$20-'08_M_impostos'!$D$33-'09_M_importacoes'!$D$63</f>
        <v>1186.5418458434292</v>
      </c>
      <c r="E18">
        <f>E$3-'06_M_comercio'!$E$20-'07_M_transporte'!$E$20-'08_M_impostos'!$E$33-'09_M_importacoes'!$E$63</f>
        <v>0.19815855700204107</v>
      </c>
      <c r="F18">
        <f>F$3-'06_M_comercio'!$F$20-'07_M_transporte'!$F$20-'08_M_impostos'!$F$33-'09_M_importacoes'!$F$63</f>
        <v>7.4149839584771726</v>
      </c>
      <c r="G18">
        <f>G$3-'06_M_comercio'!$G$20-'07_M_transporte'!$G$20-'08_M_impostos'!$G$33-'09_M_importacoes'!$G$63</f>
        <v>47.663482259129168</v>
      </c>
      <c r="H18">
        <f>H$3-'06_M_comercio'!$H$20-'07_M_transporte'!$H$20-'08_M_impostos'!$H$33-'09_M_importacoes'!$H$63</f>
        <v>0</v>
      </c>
      <c r="I18">
        <f>I$3-'06_M_comercio'!$I$20-'07_M_transporte'!$I$20-'08_M_impostos'!$I$33-'09_M_importacoes'!$I$63</f>
        <v>0</v>
      </c>
      <c r="J18">
        <f>J$3-'06_M_comercio'!$J$20-'07_M_transporte'!$J$20-'08_M_impostos'!$J$33-'09_M_importacoes'!$J$63</f>
        <v>0</v>
      </c>
      <c r="K18">
        <f>K$3-'06_M_comercio'!$K$20-'07_M_transporte'!$K$20-'08_M_impostos'!$K$33-'09_M_importacoes'!$K$63</f>
        <v>0</v>
      </c>
      <c r="L18">
        <f>L$3-'06_M_comercio'!$L$20-'07_M_transporte'!$L$20-'08_M_impostos'!$L$33-'09_M_importacoes'!$L$63</f>
        <v>50.61640585828134</v>
      </c>
      <c r="M18">
        <f>M$3-'06_M_comercio'!$M$20-'07_M_transporte'!$M$20-'08_M_impostos'!$M$33-'09_M_importacoes'!$M$63</f>
        <v>33.676788560830765</v>
      </c>
      <c r="N18">
        <f>N$3-'06_M_comercio'!$N$20-'07_M_transporte'!$N$20-'08_M_impostos'!$N$33-'09_M_importacoes'!$N$63</f>
        <v>1867.6463769480163</v>
      </c>
      <c r="O18">
        <f>O$3-'06_M_comercio'!$O$20-'07_M_transporte'!$O$20-'08_M_impostos'!$O$33-'09_M_importacoes'!$O$63</f>
        <v>946.43091789848916</v>
      </c>
      <c r="P18">
        <f>P$3-'06_M_comercio'!$P$20-'07_M_transporte'!$P$20-'08_M_impostos'!$P$33-'09_M_importacoes'!$P$63</f>
        <v>0.9088381633399345</v>
      </c>
      <c r="Q18">
        <f>Q$3-'06_M_comercio'!$Q$20-'07_M_transporte'!$Q$20-'08_M_impostos'!$Q$33-'09_M_importacoes'!$Q$63</f>
        <v>2216.6241214215902</v>
      </c>
      <c r="R18">
        <f>R$3-'06_M_comercio'!$R$20-'07_M_transporte'!$R$20-'08_M_impostos'!$R$33-'09_M_importacoes'!$R$63</f>
        <v>0</v>
      </c>
      <c r="S18">
        <f>S$3-'06_M_comercio'!$S$20-'07_M_transporte'!$S$20-'08_M_impostos'!$S$33-'09_M_importacoes'!$S$63</f>
        <v>124.94991343034773</v>
      </c>
      <c r="T18">
        <f>T$3-'06_M_comercio'!$T$20-'07_M_transporte'!$T$20-'08_M_impostos'!$T$33-'09_M_importacoes'!$T$63</f>
        <v>613.95371590536274</v>
      </c>
      <c r="U18">
        <f t="shared" ref="U18:U29" si="0">SUM(B18:T18)</f>
        <v>7347.4973680661069</v>
      </c>
      <c r="V18">
        <f>'01_Recursos'!$W$2</f>
        <v>7347.4973680661105</v>
      </c>
      <c r="W18">
        <f t="shared" ref="W18:W29" si="1">U18-V18</f>
        <v>0</v>
      </c>
    </row>
    <row r="19" spans="1:23" x14ac:dyDescent="0.25">
      <c r="A19" t="s">
        <v>70</v>
      </c>
      <c r="B19">
        <f>B$4-'06_M_comercio'!$B$21-'07_M_transporte'!$B$21-'08_M_impostos'!$B$34-'09_M_importacoes'!$B$64</f>
        <v>4.2881517153269249</v>
      </c>
      <c r="C19">
        <f>C$4-'06_M_comercio'!$C$21-'07_M_transporte'!$C$21-'08_M_impostos'!$C$34-'09_M_importacoes'!$C$64</f>
        <v>2.4191678111647841</v>
      </c>
      <c r="D19">
        <f>D$4-'06_M_comercio'!$D$21-'07_M_transporte'!$D$21-'08_M_impostos'!$D$34-'09_M_importacoes'!$D$64</f>
        <v>72.651500188092811</v>
      </c>
      <c r="E19">
        <f>E$4-'06_M_comercio'!$E$21-'07_M_transporte'!$E$21-'08_M_impostos'!$E$34-'09_M_importacoes'!$E$64</f>
        <v>1.9476422964490228</v>
      </c>
      <c r="F19">
        <f>F$4-'06_M_comercio'!$F$21-'07_M_transporte'!$F$21-'08_M_impostos'!$F$34-'09_M_importacoes'!$F$64</f>
        <v>49.292440763147333</v>
      </c>
      <c r="G19">
        <f>G$4-'06_M_comercio'!$G$21-'07_M_transporte'!$G$21-'08_M_impostos'!$G$34-'09_M_importacoes'!$G$64</f>
        <v>0.26458233771920225</v>
      </c>
      <c r="H19">
        <f>H$4-'06_M_comercio'!$H$21-'07_M_transporte'!$H$21-'08_M_impostos'!$H$34-'09_M_importacoes'!$H$64</f>
        <v>2.2295865155248411E-3</v>
      </c>
      <c r="I19">
        <f>I$4-'06_M_comercio'!$I$21-'07_M_transporte'!$I$21-'08_M_impostos'!$I$34-'09_M_importacoes'!$I$64</f>
        <v>0</v>
      </c>
      <c r="J19">
        <f>J$4-'06_M_comercio'!$J$21-'07_M_transporte'!$J$21-'08_M_impostos'!$J$34-'09_M_importacoes'!$J$64</f>
        <v>0</v>
      </c>
      <c r="K19">
        <f>K$4-'06_M_comercio'!$K$21-'07_M_transporte'!$K$21-'08_M_impostos'!$K$34-'09_M_importacoes'!$K$64</f>
        <v>2.8671551848430186</v>
      </c>
      <c r="L19">
        <f>L$4-'06_M_comercio'!$L$21-'07_M_transporte'!$L$21-'08_M_impostos'!$L$34-'09_M_importacoes'!$L$64</f>
        <v>0.19867820259189536</v>
      </c>
      <c r="M19">
        <f>M$4-'06_M_comercio'!$M$21-'07_M_transporte'!$M$21-'08_M_impostos'!$M$34-'09_M_importacoes'!$M$64</f>
        <v>0.97970223651036181</v>
      </c>
      <c r="N19">
        <f>N$4-'06_M_comercio'!$N$21-'07_M_transporte'!$N$21-'08_M_impostos'!$N$34-'09_M_importacoes'!$N$64</f>
        <v>2.5597959357354174</v>
      </c>
      <c r="O19">
        <f>O$4-'06_M_comercio'!$O$21-'07_M_transporte'!$O$21-'08_M_impostos'!$O$34-'09_M_importacoes'!$O$64</f>
        <v>42.59206393748574</v>
      </c>
      <c r="P19">
        <f>P$4-'06_M_comercio'!$P$21-'07_M_transporte'!$P$21-'08_M_impostos'!$P$34-'09_M_importacoes'!$P$64</f>
        <v>0</v>
      </c>
      <c r="Q19">
        <f>Q$4-'06_M_comercio'!$Q$21-'07_M_transporte'!$Q$21-'08_M_impostos'!$Q$34-'09_M_importacoes'!$Q$64</f>
        <v>0</v>
      </c>
      <c r="R19">
        <f>R$4-'06_M_comercio'!$R$21-'07_M_transporte'!$R$21-'08_M_impostos'!$R$34-'09_M_importacoes'!$R$64</f>
        <v>0</v>
      </c>
      <c r="S19">
        <f>S$4-'06_M_comercio'!$S$21-'07_M_transporte'!$S$21-'08_M_impostos'!$S$34-'09_M_importacoes'!$S$64</f>
        <v>0</v>
      </c>
      <c r="T19">
        <f>T$4-'06_M_comercio'!$T$21-'07_M_transporte'!$T$21-'08_M_impostos'!$T$34-'09_M_importacoes'!$T$64</f>
        <v>29.24172243200913</v>
      </c>
      <c r="U19">
        <f t="shared" si="0"/>
        <v>209.30483262759114</v>
      </c>
      <c r="V19">
        <f>'01_Recursos'!$W$3</f>
        <v>209.30483262759077</v>
      </c>
      <c r="W19">
        <f t="shared" si="1"/>
        <v>3.694822225952521E-13</v>
      </c>
    </row>
    <row r="20" spans="1:23" x14ac:dyDescent="0.25">
      <c r="A20" t="s">
        <v>71</v>
      </c>
      <c r="B20">
        <f>B$5-'06_M_comercio'!$B$22-'07_M_transporte'!$B$22-'08_M_impostos'!$B$35-'09_M_importacoes'!$B$65</f>
        <v>415.28075463334289</v>
      </c>
      <c r="C20">
        <f>C$5-'06_M_comercio'!$C$22-'07_M_transporte'!$C$22-'08_M_impostos'!$C$35-'09_M_importacoes'!$C$65</f>
        <v>10.675054377302246</v>
      </c>
      <c r="D20">
        <f>D$5-'06_M_comercio'!$D$22-'07_M_transporte'!$D$22-'08_M_impostos'!$D$35-'09_M_importacoes'!$D$65</f>
        <v>643.52558959100747</v>
      </c>
      <c r="E20">
        <f>E$5-'06_M_comercio'!$E$22-'07_M_transporte'!$E$22-'08_M_impostos'!$E$35-'09_M_importacoes'!$E$65</f>
        <v>74.62595139545769</v>
      </c>
      <c r="F20">
        <f>F$5-'06_M_comercio'!$F$22-'07_M_transporte'!$F$22-'08_M_impostos'!$F$35-'09_M_importacoes'!$F$65</f>
        <v>361.0202323235435</v>
      </c>
      <c r="G20">
        <f>G$5-'06_M_comercio'!$G$22-'07_M_transporte'!$G$22-'08_M_impostos'!$G$35-'09_M_importacoes'!$G$65</f>
        <v>164.7825502762559</v>
      </c>
      <c r="H20">
        <f>H$5-'06_M_comercio'!$H$22-'07_M_transporte'!$H$22-'08_M_impostos'!$H$35-'09_M_importacoes'!$H$65</f>
        <v>137.74090271388616</v>
      </c>
      <c r="I20">
        <f>I$5-'06_M_comercio'!$I$22-'07_M_transporte'!$I$22-'08_M_impostos'!$I$35-'09_M_importacoes'!$I$65</f>
        <v>11.328522946621014</v>
      </c>
      <c r="J20">
        <f>J$5-'06_M_comercio'!$J$22-'07_M_transporte'!$J$22-'08_M_impostos'!$J$35-'09_M_importacoes'!$J$65</f>
        <v>5.7055233742070683</v>
      </c>
      <c r="K20">
        <f>K$5-'06_M_comercio'!$K$22-'07_M_transporte'!$K$22-'08_M_impostos'!$K$35-'09_M_importacoes'!$K$65</f>
        <v>9.5268074942358396</v>
      </c>
      <c r="L20">
        <f>L$5-'06_M_comercio'!$L$22-'07_M_transporte'!$L$22-'08_M_impostos'!$L$35-'09_M_importacoes'!$L$65</f>
        <v>217.54294007839894</v>
      </c>
      <c r="M20">
        <f>M$5-'06_M_comercio'!$M$22-'07_M_transporte'!$M$22-'08_M_impostos'!$M$35-'09_M_importacoes'!$M$65</f>
        <v>173.55108894922728</v>
      </c>
      <c r="N20">
        <f>N$5-'06_M_comercio'!$N$22-'07_M_transporte'!$N$22-'08_M_impostos'!$N$35-'09_M_importacoes'!$N$65</f>
        <v>427.01426039926707</v>
      </c>
      <c r="O20">
        <f>O$5-'06_M_comercio'!$O$22-'07_M_transporte'!$O$22-'08_M_impostos'!$O$35-'09_M_importacoes'!$O$65</f>
        <v>902.67724325446261</v>
      </c>
      <c r="P20">
        <f>P$5-'06_M_comercio'!$P$22-'07_M_transporte'!$P$22-'08_M_impostos'!$P$35-'09_M_importacoes'!$P$65</f>
        <v>20.029132590023799</v>
      </c>
      <c r="Q20">
        <f>Q$5-'06_M_comercio'!$Q$22-'07_M_transporte'!$Q$22-'08_M_impostos'!$Q$35-'09_M_importacoes'!$Q$65</f>
        <v>4128.7887075394046</v>
      </c>
      <c r="R20">
        <f>R$5-'06_M_comercio'!$R$22-'07_M_transporte'!$R$22-'08_M_impostos'!$R$35-'09_M_importacoes'!$R$65</f>
        <v>0</v>
      </c>
      <c r="S20">
        <f>S$5-'06_M_comercio'!$S$22-'07_M_transporte'!$S$22-'08_M_impostos'!$S$35-'09_M_importacoes'!$S$65</f>
        <v>413.73004002414382</v>
      </c>
      <c r="T20">
        <f>T$5-'06_M_comercio'!$T$22-'07_M_transporte'!$T$22-'08_M_impostos'!$T$35-'09_M_importacoes'!$T$65</f>
        <v>383.51440956114152</v>
      </c>
      <c r="U20">
        <f t="shared" si="0"/>
        <v>8501.0597115219298</v>
      </c>
      <c r="V20">
        <f>'01_Recursos'!$W$4</f>
        <v>8501.0597115219716</v>
      </c>
      <c r="W20">
        <f t="shared" si="1"/>
        <v>-4.1836756281554699E-11</v>
      </c>
    </row>
    <row r="21" spans="1:23" x14ac:dyDescent="0.25">
      <c r="A21" t="s">
        <v>72</v>
      </c>
      <c r="B21">
        <f>B$6-'06_M_comercio'!$B$23-'07_M_transporte'!$B$23-'08_M_impostos'!$B$36-'09_M_importacoes'!$B$66</f>
        <v>137.55237072704188</v>
      </c>
      <c r="C21">
        <f>C$6-'06_M_comercio'!$C$23-'07_M_transporte'!$C$23-'08_M_impostos'!$C$36-'09_M_importacoes'!$C$66</f>
        <v>7.0201736055545831</v>
      </c>
      <c r="D21">
        <f>D$6-'06_M_comercio'!$D$23-'07_M_transporte'!$D$23-'08_M_impostos'!$D$36-'09_M_importacoes'!$D$66</f>
        <v>121.69797260771271</v>
      </c>
      <c r="E21">
        <f>E$6-'06_M_comercio'!$E$23-'07_M_transporte'!$E$23-'08_M_impostos'!$E$36-'09_M_importacoes'!$E$66</f>
        <v>1315.2963454653438</v>
      </c>
      <c r="F21">
        <f>F$6-'06_M_comercio'!$F$23-'07_M_transporte'!$F$23-'08_M_impostos'!$F$36-'09_M_importacoes'!$F$66</f>
        <v>9.7823184779767143</v>
      </c>
      <c r="G21">
        <f>G$6-'06_M_comercio'!$G$23-'07_M_transporte'!$G$23-'08_M_impostos'!$G$36-'09_M_importacoes'!$G$66</f>
        <v>227.09063815168903</v>
      </c>
      <c r="H21">
        <f>H$6-'06_M_comercio'!$H$23-'07_M_transporte'!$H$23-'08_M_impostos'!$H$36-'09_M_importacoes'!$H$66</f>
        <v>23.200738722646616</v>
      </c>
      <c r="I21">
        <f>I$6-'06_M_comercio'!$I$23-'07_M_transporte'!$I$23-'08_M_impostos'!$I$36-'09_M_importacoes'!$I$66</f>
        <v>19.317315050798502</v>
      </c>
      <c r="J21">
        <f>J$6-'06_M_comercio'!$J$23-'07_M_transporte'!$J$23-'08_M_impostos'!$J$36-'09_M_importacoes'!$J$66</f>
        <v>11.49694356061031</v>
      </c>
      <c r="K21">
        <f>K$6-'06_M_comercio'!$K$23-'07_M_transporte'!$K$23-'08_M_impostos'!$K$36-'09_M_importacoes'!$K$66</f>
        <v>6.3255455811875994</v>
      </c>
      <c r="L21">
        <f>L$6-'06_M_comercio'!$L$23-'07_M_transporte'!$L$23-'08_M_impostos'!$L$36-'09_M_importacoes'!$L$66</f>
        <v>192.62871124348001</v>
      </c>
      <c r="M21">
        <f>M$6-'06_M_comercio'!$M$23-'07_M_transporte'!$M$23-'08_M_impostos'!$M$36-'09_M_importacoes'!$M$66</f>
        <v>339.49378024420997</v>
      </c>
      <c r="N21">
        <f>N$6-'06_M_comercio'!$N$23-'07_M_transporte'!$N$23-'08_M_impostos'!$N$36-'09_M_importacoes'!$N$66</f>
        <v>0</v>
      </c>
      <c r="O21">
        <f>O$6-'06_M_comercio'!$O$23-'07_M_transporte'!$O$23-'08_M_impostos'!$O$36-'09_M_importacoes'!$O$66</f>
        <v>545.47545585121702</v>
      </c>
      <c r="P21">
        <f>P$6-'06_M_comercio'!$P$23-'07_M_transporte'!$P$23-'08_M_impostos'!$P$36-'09_M_importacoes'!$P$66</f>
        <v>0</v>
      </c>
      <c r="Q21">
        <f>Q$6-'06_M_comercio'!$Q$23-'07_M_transporte'!$Q$23-'08_M_impostos'!$Q$36-'09_M_importacoes'!$Q$66</f>
        <v>1084.9145142657298</v>
      </c>
      <c r="R21">
        <f>R$6-'06_M_comercio'!$R$23-'07_M_transporte'!$R$23-'08_M_impostos'!$R$36-'09_M_importacoes'!$R$66</f>
        <v>0</v>
      </c>
      <c r="S21">
        <f>S$6-'06_M_comercio'!$S$23-'07_M_transporte'!$S$23-'08_M_impostos'!$S$36-'09_M_importacoes'!$S$66</f>
        <v>0</v>
      </c>
      <c r="T21">
        <f>T$6-'06_M_comercio'!$T$23-'07_M_transporte'!$T$23-'08_M_impostos'!$T$36-'09_M_importacoes'!$T$66</f>
        <v>1.4852731516133182</v>
      </c>
      <c r="U21">
        <f t="shared" si="0"/>
        <v>4042.7780967068124</v>
      </c>
      <c r="V21">
        <f>'01_Recursos'!$W$5</f>
        <v>4042.8135613132636</v>
      </c>
      <c r="W21">
        <f t="shared" si="1"/>
        <v>-3.5464606451114378E-2</v>
      </c>
    </row>
    <row r="22" spans="1:23" x14ac:dyDescent="0.25">
      <c r="A22" t="s">
        <v>73</v>
      </c>
      <c r="B22">
        <f>B$7-'06_M_comercio'!$B$24-'07_M_transporte'!$B$24-'08_M_impostos'!$B$37-'09_M_importacoes'!$B$67</f>
        <v>3.6080629585993491</v>
      </c>
      <c r="C22">
        <f>C$7-'06_M_comercio'!$C$24-'07_M_transporte'!$C$24-'08_M_impostos'!$C$37-'09_M_importacoes'!$C$67</f>
        <v>1.3013684956193192E-2</v>
      </c>
      <c r="D22">
        <f>D$7-'06_M_comercio'!$D$24-'07_M_transporte'!$D$24-'08_M_impostos'!$D$37-'09_M_importacoes'!$D$67</f>
        <v>2.1372298585537881</v>
      </c>
      <c r="E22">
        <f>E$7-'06_M_comercio'!$E$24-'07_M_transporte'!$E$24-'08_M_impostos'!$E$37-'09_M_importacoes'!$E$67</f>
        <v>74.589386548399872</v>
      </c>
      <c r="F22">
        <f>F$7-'06_M_comercio'!$F$24-'07_M_transporte'!$F$24-'08_M_impostos'!$F$37-'09_M_importacoes'!$F$67</f>
        <v>665.58465450854942</v>
      </c>
      <c r="G22">
        <f>G$7-'06_M_comercio'!$G$24-'07_M_transporte'!$G$24-'08_M_impostos'!$G$37-'09_M_importacoes'!$G$67</f>
        <v>10.550300375583189</v>
      </c>
      <c r="H22">
        <f>H$7-'06_M_comercio'!$H$24-'07_M_transporte'!$H$24-'08_M_impostos'!$H$37-'09_M_importacoes'!$H$67</f>
        <v>7.8828084231701512</v>
      </c>
      <c r="I22">
        <f>I$7-'06_M_comercio'!$I$24-'07_M_transporte'!$I$24-'08_M_impostos'!$I$37-'09_M_importacoes'!$I$67</f>
        <v>32.051014929146113</v>
      </c>
      <c r="J22">
        <f>J$7-'06_M_comercio'!$J$24-'07_M_transporte'!$J$24-'08_M_impostos'!$J$37-'09_M_importacoes'!$J$67</f>
        <v>4.6333568049391571</v>
      </c>
      <c r="K22">
        <f>K$7-'06_M_comercio'!$K$24-'07_M_transporte'!$K$24-'08_M_impostos'!$K$37-'09_M_importacoes'!$K$67</f>
        <v>9.9453625751879553</v>
      </c>
      <c r="L22">
        <f>L$7-'06_M_comercio'!$L$24-'07_M_transporte'!$L$24-'08_M_impostos'!$L$37-'09_M_importacoes'!$L$67</f>
        <v>23.457090744028164</v>
      </c>
      <c r="M22">
        <f>M$7-'06_M_comercio'!$M$24-'07_M_transporte'!$M$24-'08_M_impostos'!$M$37-'09_M_importacoes'!$M$67</f>
        <v>342.6312765115556</v>
      </c>
      <c r="N22">
        <f>N$7-'06_M_comercio'!$N$24-'07_M_transporte'!$N$24-'08_M_impostos'!$N$37-'09_M_importacoes'!$N$67</f>
        <v>0</v>
      </c>
      <c r="O22">
        <f>O$7-'06_M_comercio'!$O$24-'07_M_transporte'!$O$24-'08_M_impostos'!$O$37-'09_M_importacoes'!$O$67</f>
        <v>0</v>
      </c>
      <c r="P22">
        <f>P$7-'06_M_comercio'!$P$24-'07_M_transporte'!$P$24-'08_M_impostos'!$P$37-'09_M_importacoes'!$P$67</f>
        <v>0</v>
      </c>
      <c r="Q22">
        <f>Q$7-'06_M_comercio'!$Q$24-'07_M_transporte'!$Q$24-'08_M_impostos'!$Q$37-'09_M_importacoes'!$Q$67</f>
        <v>0</v>
      </c>
      <c r="R22">
        <f>R$7-'06_M_comercio'!$R$24-'07_M_transporte'!$R$24-'08_M_impostos'!$R$37-'09_M_importacoes'!$R$67</f>
        <v>0</v>
      </c>
      <c r="S22">
        <f>S$7-'06_M_comercio'!$S$24-'07_M_transporte'!$S$24-'08_M_impostos'!$S$37-'09_M_importacoes'!$S$67</f>
        <v>4595.0990431154105</v>
      </c>
      <c r="T22">
        <f>T$7-'06_M_comercio'!$T$24-'07_M_transporte'!$T$24-'08_M_impostos'!$T$37-'09_M_importacoes'!$T$67</f>
        <v>0</v>
      </c>
      <c r="U22">
        <f t="shared" si="0"/>
        <v>5772.1826010380792</v>
      </c>
      <c r="V22">
        <f>'01_Recursos'!$W$6</f>
        <v>5772.1826010380846</v>
      </c>
      <c r="W22">
        <f t="shared" si="1"/>
        <v>0</v>
      </c>
    </row>
    <row r="23" spans="1:23" x14ac:dyDescent="0.25">
      <c r="A23" t="s">
        <v>74</v>
      </c>
      <c r="B23">
        <f>B$8-'06_M_comercio'!$B$25-'07_M_transporte'!$B$25-'08_M_impostos'!$B$38-'09_M_importacoes'!$B$68</f>
        <v>524.20625205470594</v>
      </c>
      <c r="C23">
        <f>C$8-'06_M_comercio'!$C$25-'07_M_transporte'!$C$25-'08_M_impostos'!$C$38-'09_M_importacoes'!$C$68</f>
        <v>13.102171990336799</v>
      </c>
      <c r="D23">
        <f>D$8-'06_M_comercio'!$D$25-'07_M_transporte'!$D$25-'08_M_impostos'!$D$38-'09_M_importacoes'!$D$68</f>
        <v>817.48395307685496</v>
      </c>
      <c r="E23">
        <f>E$8-'06_M_comercio'!$E$25-'07_M_transporte'!$E$25-'08_M_impostos'!$E$38-'09_M_importacoes'!$E$68</f>
        <v>78.24018283100726</v>
      </c>
      <c r="F23">
        <f>F$8-'06_M_comercio'!$F$25-'07_M_transporte'!$F$25-'08_M_impostos'!$F$38-'09_M_importacoes'!$F$68</f>
        <v>438.71916719359422</v>
      </c>
      <c r="G23">
        <f>G$8-'06_M_comercio'!$G$25-'07_M_transporte'!$G$25-'08_M_impostos'!$G$38-'09_M_importacoes'!$G$68</f>
        <v>108.86564649653121</v>
      </c>
      <c r="H23">
        <f>H$8-'06_M_comercio'!$H$25-'07_M_transporte'!$H$25-'08_M_impostos'!$H$38-'09_M_importacoes'!$H$68</f>
        <v>99.508202663000347</v>
      </c>
      <c r="I23">
        <f>I$8-'06_M_comercio'!$I$25-'07_M_transporte'!$I$25-'08_M_impostos'!$I$38-'09_M_importacoes'!$I$68</f>
        <v>-9.6543280565970306</v>
      </c>
      <c r="J23">
        <f>J$8-'06_M_comercio'!$J$25-'07_M_transporte'!$J$25-'08_M_impostos'!$J$38-'09_M_importacoes'!$J$68</f>
        <v>10.55836022163593</v>
      </c>
      <c r="K23">
        <f>K$8-'06_M_comercio'!$K$25-'07_M_transporte'!$K$25-'08_M_impostos'!$K$38-'09_M_importacoes'!$K$68</f>
        <v>12.159504456448554</v>
      </c>
      <c r="L23">
        <f>L$8-'06_M_comercio'!$L$25-'07_M_transporte'!$L$25-'08_M_impostos'!$L$38-'09_M_importacoes'!$L$68</f>
        <v>258.84245182786793</v>
      </c>
      <c r="M23">
        <f>M$8-'06_M_comercio'!$M$25-'07_M_transporte'!$M$25-'08_M_impostos'!$M$38-'09_M_importacoes'!$M$68</f>
        <v>153.53031145592084</v>
      </c>
      <c r="N23">
        <f>N$8-'06_M_comercio'!$N$25-'07_M_transporte'!$N$25-'08_M_impostos'!$N$38-'09_M_importacoes'!$N$68</f>
        <v>323.05484873329209</v>
      </c>
      <c r="O23">
        <f>O$8-'06_M_comercio'!$O$25-'07_M_transporte'!$O$25-'08_M_impostos'!$O$38-'09_M_importacoes'!$O$68</f>
        <v>1208.1349684890754</v>
      </c>
      <c r="P23">
        <f>P$8-'06_M_comercio'!$P$25-'07_M_transporte'!$P$25-'08_M_impostos'!$P$38-'09_M_importacoes'!$P$68</f>
        <v>24.191188010546067</v>
      </c>
      <c r="Q23">
        <f>Q$8-'06_M_comercio'!$Q$25-'07_M_transporte'!$Q$25-'08_M_impostos'!$Q$38-'09_M_importacoes'!$Q$68</f>
        <v>4561.3891177473952</v>
      </c>
      <c r="R23">
        <f>R$8-'06_M_comercio'!$R$25-'07_M_transporte'!$R$25-'08_M_impostos'!$R$38-'09_M_importacoes'!$R$68</f>
        <v>0</v>
      </c>
      <c r="S23">
        <f>S$8-'06_M_comercio'!$S$25-'07_M_transporte'!$S$25-'08_M_impostos'!$S$38-'09_M_importacoes'!$S$68</f>
        <v>516.67023265683815</v>
      </c>
      <c r="T23">
        <f>T$8-'06_M_comercio'!$T$25-'07_M_transporte'!$T$25-'08_M_impostos'!$T$38-'09_M_importacoes'!$T$68</f>
        <v>539.28138575584478</v>
      </c>
      <c r="U23">
        <f t="shared" si="0"/>
        <v>9678.2836176043002</v>
      </c>
      <c r="V23">
        <f>'01_Recursos'!$W$7</f>
        <v>9678.2836176043074</v>
      </c>
      <c r="W23">
        <f t="shared" si="1"/>
        <v>0</v>
      </c>
    </row>
    <row r="24" spans="1:23" x14ac:dyDescent="0.25">
      <c r="A24" t="s">
        <v>75</v>
      </c>
      <c r="B24">
        <f>B$9-'06_M_comercio'!$B$26-'07_M_transporte'!$B$26-'08_M_impostos'!$B$39-'09_M_importacoes'!$B$69</f>
        <v>102.53044342217879</v>
      </c>
      <c r="C24">
        <f>C$9-'06_M_comercio'!$C$26-'07_M_transporte'!$C$26-'08_M_impostos'!$C$39-'09_M_importacoes'!$C$69</f>
        <v>5.4041784313844481</v>
      </c>
      <c r="D24">
        <f>D$9-'06_M_comercio'!$D$26-'07_M_transporte'!$D$26-'08_M_impostos'!$D$39-'09_M_importacoes'!$D$69</f>
        <v>346.76257380559269</v>
      </c>
      <c r="E24">
        <f>E$9-'06_M_comercio'!$E$26-'07_M_transporte'!$E$26-'08_M_impostos'!$E$39-'09_M_importacoes'!$E$69</f>
        <v>19.570655607509874</v>
      </c>
      <c r="F24">
        <f>F$9-'06_M_comercio'!$F$26-'07_M_transporte'!$F$26-'08_M_impostos'!$F$39-'09_M_importacoes'!$F$69</f>
        <v>54.62392187608144</v>
      </c>
      <c r="G24">
        <f>G$9-'06_M_comercio'!$G$26-'07_M_transporte'!$G$26-'08_M_impostos'!$G$39-'09_M_importacoes'!$G$69</f>
        <v>333.73221127559725</v>
      </c>
      <c r="H24">
        <f>H$9-'06_M_comercio'!$H$26-'07_M_transporte'!$H$26-'08_M_impostos'!$H$39-'09_M_importacoes'!$H$69</f>
        <v>215.0336481197433</v>
      </c>
      <c r="I24">
        <f>I$9-'06_M_comercio'!$I$26-'07_M_transporte'!$I$26-'08_M_impostos'!$I$39-'09_M_importacoes'!$I$69</f>
        <v>8.0754271270997222</v>
      </c>
      <c r="J24">
        <f>J$9-'06_M_comercio'!$J$26-'07_M_transporte'!$J$26-'08_M_impostos'!$J$39-'09_M_importacoes'!$J$69</f>
        <v>19.375277838260494</v>
      </c>
      <c r="K24">
        <f>K$9-'06_M_comercio'!$K$26-'07_M_transporte'!$K$26-'08_M_impostos'!$K$39-'09_M_importacoes'!$K$69</f>
        <v>2.4996886830980438</v>
      </c>
      <c r="L24">
        <f>L$9-'06_M_comercio'!$L$26-'07_M_transporte'!$L$26-'08_M_impostos'!$L$39-'09_M_importacoes'!$L$69</f>
        <v>102.63652005720888</v>
      </c>
      <c r="M24">
        <f>M$9-'06_M_comercio'!$M$26-'07_M_transporte'!$M$26-'08_M_impostos'!$M$39-'09_M_importacoes'!$M$69</f>
        <v>149.41564648997314</v>
      </c>
      <c r="N24">
        <f>N$9-'06_M_comercio'!$N$26-'07_M_transporte'!$N$26-'08_M_impostos'!$N$39-'09_M_importacoes'!$N$69</f>
        <v>46.529087371507956</v>
      </c>
      <c r="O24">
        <f>O$9-'06_M_comercio'!$O$26-'07_M_transporte'!$O$26-'08_M_impostos'!$O$39-'09_M_importacoes'!$O$69</f>
        <v>71.509935056669079</v>
      </c>
      <c r="P24">
        <f>P$9-'06_M_comercio'!$P$26-'07_M_transporte'!$P$26-'08_M_impostos'!$P$39-'09_M_importacoes'!$P$69</f>
        <v>1.0176239887739882</v>
      </c>
      <c r="Q24">
        <f>Q$9-'06_M_comercio'!$Q$26-'07_M_transporte'!$Q$26-'08_M_impostos'!$Q$39-'09_M_importacoes'!$Q$69</f>
        <v>1046.7294831035783</v>
      </c>
      <c r="R24">
        <f>R$9-'06_M_comercio'!$R$26-'07_M_transporte'!$R$26-'08_M_impostos'!$R$39-'09_M_importacoes'!$R$69</f>
        <v>0</v>
      </c>
      <c r="S24">
        <f>S$9-'06_M_comercio'!$S$26-'07_M_transporte'!$S$26-'08_M_impostos'!$S$39-'09_M_importacoes'!$S$69</f>
        <v>22.758401223673538</v>
      </c>
      <c r="T24">
        <f>T$9-'06_M_comercio'!$T$26-'07_M_transporte'!$T$26-'08_M_impostos'!$T$39-'09_M_importacoes'!$T$69</f>
        <v>36.682731707092969</v>
      </c>
      <c r="U24">
        <f t="shared" si="0"/>
        <v>2584.8874551850236</v>
      </c>
      <c r="V24">
        <f>'01_Recursos'!$W$8</f>
        <v>2584.6516263226313</v>
      </c>
      <c r="W24">
        <f t="shared" si="1"/>
        <v>0.23582886239228174</v>
      </c>
    </row>
    <row r="25" spans="1:23" x14ac:dyDescent="0.25">
      <c r="A25" t="s">
        <v>76</v>
      </c>
      <c r="B25">
        <f>B$10-'06_M_comercio'!$B$27-'07_M_transporte'!$B$27-'08_M_impostos'!$B$40-'09_M_importacoes'!$B$70</f>
        <v>0.41385026166796846</v>
      </c>
      <c r="C25">
        <f>C$10-'06_M_comercio'!$C$27-'07_M_transporte'!$C$27-'08_M_impostos'!$C$40-'09_M_importacoes'!$C$70</f>
        <v>0.15333838708609104</v>
      </c>
      <c r="D25">
        <f>D$10-'06_M_comercio'!$D$27-'07_M_transporte'!$D$27-'08_M_impostos'!$D$40-'09_M_importacoes'!$D$70</f>
        <v>32.710907014581821</v>
      </c>
      <c r="E25">
        <f>E$10-'06_M_comercio'!$E$27-'07_M_transporte'!$E$27-'08_M_impostos'!$E$40-'09_M_importacoes'!$E$70</f>
        <v>27.587885964838467</v>
      </c>
      <c r="F25">
        <f>F$10-'06_M_comercio'!$F$27-'07_M_transporte'!$F$27-'08_M_impostos'!$F$40-'09_M_importacoes'!$F$70</f>
        <v>11.229204193517313</v>
      </c>
      <c r="G25">
        <f>G$10-'06_M_comercio'!$G$27-'07_M_transporte'!$G$27-'08_M_impostos'!$G$40-'09_M_importacoes'!$G$70</f>
        <v>103.43619743618883</v>
      </c>
      <c r="H25">
        <f>H$10-'06_M_comercio'!$H$27-'07_M_transporte'!$H$27-'08_M_impostos'!$H$40-'09_M_importacoes'!$H$70</f>
        <v>21.316762164947477</v>
      </c>
      <c r="I25">
        <f>I$10-'06_M_comercio'!$I$27-'07_M_transporte'!$I$27-'08_M_impostos'!$I$40-'09_M_importacoes'!$I$70</f>
        <v>175.34728841080067</v>
      </c>
      <c r="J25">
        <f>J$10-'06_M_comercio'!$J$27-'07_M_transporte'!$J$27-'08_M_impostos'!$J$40-'09_M_importacoes'!$J$70</f>
        <v>70.641150453878737</v>
      </c>
      <c r="K25">
        <f>K$10-'06_M_comercio'!$K$27-'07_M_transporte'!$K$27-'08_M_impostos'!$K$40-'09_M_importacoes'!$K$70</f>
        <v>4.0118635590179119</v>
      </c>
      <c r="L25">
        <f>L$10-'06_M_comercio'!$L$27-'07_M_transporte'!$L$27-'08_M_impostos'!$L$40-'09_M_importacoes'!$L$70</f>
        <v>137.30913508574446</v>
      </c>
      <c r="M25">
        <f>M$10-'06_M_comercio'!$M$27-'07_M_transporte'!$M$27-'08_M_impostos'!$M$40-'09_M_importacoes'!$M$70</f>
        <v>267.86100443637037</v>
      </c>
      <c r="N25">
        <f>N$10-'06_M_comercio'!$N$27-'07_M_transporte'!$N$27-'08_M_impostos'!$N$40-'09_M_importacoes'!$N$70</f>
        <v>2.564876531556473</v>
      </c>
      <c r="O25">
        <f>O$10-'06_M_comercio'!$O$27-'07_M_transporte'!$O$27-'08_M_impostos'!$O$40-'09_M_importacoes'!$O$70</f>
        <v>17.89135030326706</v>
      </c>
      <c r="P25">
        <f>P$10-'06_M_comercio'!$P$27-'07_M_transporte'!$P$27-'08_M_impostos'!$P$40-'09_M_importacoes'!$P$70</f>
        <v>0</v>
      </c>
      <c r="Q25">
        <f>Q$10-'06_M_comercio'!$Q$27-'07_M_transporte'!$Q$27-'08_M_impostos'!$Q$40-'09_M_importacoes'!$Q$70</f>
        <v>553.1700137802336</v>
      </c>
      <c r="R25">
        <f>R$10-'06_M_comercio'!$R$27-'07_M_transporte'!$R$27-'08_M_impostos'!$R$40-'09_M_importacoes'!$R$70</f>
        <v>0</v>
      </c>
      <c r="S25">
        <f>S$10-'06_M_comercio'!$S$27-'07_M_transporte'!$S$27-'08_M_impostos'!$S$40-'09_M_importacoes'!$S$70</f>
        <v>73.926373965665263</v>
      </c>
      <c r="T25">
        <f>T$10-'06_M_comercio'!$T$27-'07_M_transporte'!$T$27-'08_M_impostos'!$T$40-'09_M_importacoes'!$T$70</f>
        <v>-0.30573050961676518</v>
      </c>
      <c r="U25">
        <f t="shared" si="0"/>
        <v>1499.2654714397459</v>
      </c>
      <c r="V25">
        <f>'01_Recursos'!$W$9</f>
        <v>1499.2654714397511</v>
      </c>
      <c r="W25">
        <f t="shared" si="1"/>
        <v>-5.2295945351943374E-12</v>
      </c>
    </row>
    <row r="26" spans="1:23" x14ac:dyDescent="0.25">
      <c r="A26" t="s">
        <v>77</v>
      </c>
      <c r="B26">
        <f>B$11-'06_M_comercio'!$B$28-'07_M_transporte'!$B$28-'08_M_impostos'!$B$41-'09_M_importacoes'!$B$71</f>
        <v>49.033293526486815</v>
      </c>
      <c r="C26">
        <f>C$11-'06_M_comercio'!$C$28-'07_M_transporte'!$C$28-'08_M_impostos'!$C$41-'09_M_importacoes'!$C$71</f>
        <v>2.7470860049006651</v>
      </c>
      <c r="D26">
        <f>D$11-'06_M_comercio'!$D$28-'07_M_transporte'!$D$28-'08_M_impostos'!$D$41-'09_M_importacoes'!$D$71</f>
        <v>68.784334483572835</v>
      </c>
      <c r="E26">
        <f>E$11-'06_M_comercio'!$E$28-'07_M_transporte'!$E$28-'08_M_impostos'!$E$41-'09_M_importacoes'!$E$71</f>
        <v>49.170488958192522</v>
      </c>
      <c r="F26">
        <f>F$11-'06_M_comercio'!$F$28-'07_M_transporte'!$F$28-'08_M_impostos'!$F$41-'09_M_importacoes'!$F$71</f>
        <v>36.372772590142667</v>
      </c>
      <c r="G26">
        <f>G$11-'06_M_comercio'!$G$28-'07_M_transporte'!$G$28-'08_M_impostos'!$G$41-'09_M_importacoes'!$G$71</f>
        <v>92.551740539847316</v>
      </c>
      <c r="H26">
        <f>H$11-'06_M_comercio'!$H$28-'07_M_transporte'!$H$28-'08_M_impostos'!$H$41-'09_M_importacoes'!$H$71</f>
        <v>26.733388317743668</v>
      </c>
      <c r="I26">
        <f>I$11-'06_M_comercio'!$I$28-'07_M_transporte'!$I$28-'08_M_impostos'!$I$41-'09_M_importacoes'!$I$71</f>
        <v>25.100171035890192</v>
      </c>
      <c r="J26">
        <f>J$11-'06_M_comercio'!$J$28-'07_M_transporte'!$J$28-'08_M_impostos'!$J$41-'09_M_importacoes'!$J$71</f>
        <v>137.60983430922607</v>
      </c>
      <c r="K26">
        <f>K$11-'06_M_comercio'!$K$28-'07_M_transporte'!$K$28-'08_M_impostos'!$K$41-'09_M_importacoes'!$K$71</f>
        <v>57.591657567803708</v>
      </c>
      <c r="L26">
        <f>L$11-'06_M_comercio'!$L$28-'07_M_transporte'!$L$28-'08_M_impostos'!$L$41-'09_M_importacoes'!$L$71</f>
        <v>55.947752641783538</v>
      </c>
      <c r="M26">
        <f>M$11-'06_M_comercio'!$M$28-'07_M_transporte'!$M$28-'08_M_impostos'!$M$41-'09_M_importacoes'!$M$71</f>
        <v>252.01112073457506</v>
      </c>
      <c r="N26">
        <f>N$11-'06_M_comercio'!$N$28-'07_M_transporte'!$N$28-'08_M_impostos'!$N$41-'09_M_importacoes'!$N$71</f>
        <v>8.4055003505666299</v>
      </c>
      <c r="O26">
        <f>O$11-'06_M_comercio'!$O$28-'07_M_transporte'!$O$28-'08_M_impostos'!$O$41-'09_M_importacoes'!$O$71</f>
        <v>0</v>
      </c>
      <c r="P26">
        <f>P$11-'06_M_comercio'!$P$28-'07_M_transporte'!$P$28-'08_M_impostos'!$P$41-'09_M_importacoes'!$P$71</f>
        <v>2.9089627467789514</v>
      </c>
      <c r="Q26">
        <f>Q$11-'06_M_comercio'!$Q$28-'07_M_transporte'!$Q$28-'08_M_impostos'!$Q$41-'09_M_importacoes'!$Q$71</f>
        <v>1429.6682957410153</v>
      </c>
      <c r="R26">
        <f>R$11-'06_M_comercio'!$R$28-'07_M_transporte'!$R$28-'08_M_impostos'!$R$41-'09_M_importacoes'!$R$71</f>
        <v>0</v>
      </c>
      <c r="S26">
        <f>S$11-'06_M_comercio'!$S$28-'07_M_transporte'!$S$28-'08_M_impostos'!$S$41-'09_M_importacoes'!$S$71</f>
        <v>0</v>
      </c>
      <c r="T26">
        <f>T$11-'06_M_comercio'!$T$28-'07_M_transporte'!$T$28-'08_M_impostos'!$T$41-'09_M_importacoes'!$T$71</f>
        <v>0</v>
      </c>
      <c r="U26">
        <f t="shared" si="0"/>
        <v>2294.6363995485258</v>
      </c>
      <c r="V26">
        <f>'01_Recursos'!$W$10</f>
        <v>2294.6362244400698</v>
      </c>
      <c r="W26">
        <f t="shared" si="1"/>
        <v>1.7510845600554603E-4</v>
      </c>
    </row>
    <row r="27" spans="1:23" x14ac:dyDescent="0.25">
      <c r="A27" t="s">
        <v>78</v>
      </c>
      <c r="B27">
        <f>B$12-'06_M_comercio'!$B$29-'07_M_transporte'!$B$29-'08_M_impostos'!$B$42-'09_M_importacoes'!$B$72</f>
        <v>0.22420049450273</v>
      </c>
      <c r="C27">
        <f>C$12-'06_M_comercio'!$C$29-'07_M_transporte'!$C$29-'08_M_impostos'!$C$42-'09_M_importacoes'!$C$72</f>
        <v>0.43637959607147764</v>
      </c>
      <c r="D27">
        <f>D$12-'06_M_comercio'!$D$29-'07_M_transporte'!$D$29-'08_M_impostos'!$D$42-'09_M_importacoes'!$D$72</f>
        <v>20.744279298194151</v>
      </c>
      <c r="E27">
        <f>E$12-'06_M_comercio'!$E$29-'07_M_transporte'!$E$29-'08_M_impostos'!$E$42-'09_M_importacoes'!$E$72</f>
        <v>22.168471665991262</v>
      </c>
      <c r="F27">
        <f>F$12-'06_M_comercio'!$F$29-'07_M_transporte'!$F$29-'08_M_impostos'!$F$42-'09_M_importacoes'!$F$72</f>
        <v>12.935308823198858</v>
      </c>
      <c r="G27">
        <f>G$12-'06_M_comercio'!$G$29-'07_M_transporte'!$G$29-'08_M_impostos'!$G$42-'09_M_importacoes'!$G$72</f>
        <v>352.88326172806399</v>
      </c>
      <c r="H27">
        <f>H$12-'06_M_comercio'!$H$29-'07_M_transporte'!$H$29-'08_M_impostos'!$H$42-'09_M_importacoes'!$H$72</f>
        <v>43.085829380557797</v>
      </c>
      <c r="I27">
        <f>I$12-'06_M_comercio'!$I$29-'07_M_transporte'!$I$29-'08_M_impostos'!$I$42-'09_M_importacoes'!$I$72</f>
        <v>24.131468565578924</v>
      </c>
      <c r="J27">
        <f>J$12-'06_M_comercio'!$J$29-'07_M_transporte'!$J$29-'08_M_impostos'!$J$42-'09_M_importacoes'!$J$72</f>
        <v>21.598306622675945</v>
      </c>
      <c r="K27">
        <f>K$12-'06_M_comercio'!$K$29-'07_M_transporte'!$K$29-'08_M_impostos'!$K$42-'09_M_importacoes'!$K$72</f>
        <v>12.009723691299495</v>
      </c>
      <c r="L27">
        <f>L$12-'06_M_comercio'!$L$29-'07_M_transporte'!$L$29-'08_M_impostos'!$L$42-'09_M_importacoes'!$L$72</f>
        <v>180.83350746868069</v>
      </c>
      <c r="M27">
        <f>M$12-'06_M_comercio'!$M$29-'07_M_transporte'!$M$29-'08_M_impostos'!$M$42-'09_M_importacoes'!$M$72</f>
        <v>50.155175344862862</v>
      </c>
      <c r="N27">
        <f>N$12-'06_M_comercio'!$N$29-'07_M_transporte'!$N$29-'08_M_impostos'!$N$42-'09_M_importacoes'!$N$72</f>
        <v>0</v>
      </c>
      <c r="O27">
        <f>O$12-'06_M_comercio'!$O$29-'07_M_transporte'!$O$29-'08_M_impostos'!$O$42-'09_M_importacoes'!$O$72</f>
        <v>3.7006864849428243</v>
      </c>
      <c r="P27">
        <f>P$12-'06_M_comercio'!$P$29-'07_M_transporte'!$P$29-'08_M_impostos'!$P$42-'09_M_importacoes'!$P$72</f>
        <v>0</v>
      </c>
      <c r="Q27">
        <f>Q$12-'06_M_comercio'!$Q$29-'07_M_transporte'!$Q$29-'08_M_impostos'!$Q$42-'09_M_importacoes'!$Q$72</f>
        <v>3515.6702386478946</v>
      </c>
      <c r="R27">
        <f>R$12-'06_M_comercio'!$R$29-'07_M_transporte'!$R$29-'08_M_impostos'!$R$42-'09_M_importacoes'!$R$72</f>
        <v>0</v>
      </c>
      <c r="S27">
        <f>S$12-'06_M_comercio'!$S$29-'07_M_transporte'!$S$29-'08_M_impostos'!$S$42-'09_M_importacoes'!$S$72</f>
        <v>0</v>
      </c>
      <c r="T27">
        <f>T$12-'06_M_comercio'!$T$29-'07_M_transporte'!$T$29-'08_M_impostos'!$T$42-'09_M_importacoes'!$T$72</f>
        <v>0</v>
      </c>
      <c r="U27">
        <f t="shared" si="0"/>
        <v>4260.5768378125158</v>
      </c>
      <c r="V27">
        <f>'01_Recursos'!$W$11</f>
        <v>4260.5768378125122</v>
      </c>
      <c r="W27">
        <f t="shared" si="1"/>
        <v>0</v>
      </c>
    </row>
    <row r="28" spans="1:23" x14ac:dyDescent="0.25">
      <c r="A28" t="s">
        <v>79</v>
      </c>
      <c r="B28">
        <f>B$13-'06_M_comercio'!$B$30-'07_M_transporte'!$B$30-'08_M_impostos'!$B$43-'09_M_importacoes'!$B$73</f>
        <v>26.84956943086187</v>
      </c>
      <c r="C28">
        <f>C$13-'06_M_comercio'!$C$30-'07_M_transporte'!$C$30-'08_M_impostos'!$C$43-'09_M_importacoes'!$C$73</f>
        <v>7.9860369847184023</v>
      </c>
      <c r="D28">
        <f>D$13-'06_M_comercio'!$D$30-'07_M_transporte'!$D$30-'08_M_impostos'!$D$43-'09_M_importacoes'!$D$73</f>
        <v>292.45964253231267</v>
      </c>
      <c r="E28">
        <f>E$13-'06_M_comercio'!$E$30-'07_M_transporte'!$E$30-'08_M_impostos'!$E$43-'09_M_importacoes'!$E$73</f>
        <v>182.46267594369434</v>
      </c>
      <c r="F28">
        <f>F$13-'06_M_comercio'!$F$30-'07_M_transporte'!$F$30-'08_M_impostos'!$F$43-'09_M_importacoes'!$F$73</f>
        <v>114.09985304778512</v>
      </c>
      <c r="G28">
        <f>G$13-'06_M_comercio'!$G$30-'07_M_transporte'!$G$30-'08_M_impostos'!$G$43-'09_M_importacoes'!$G$73</f>
        <v>636.7683351420103</v>
      </c>
      <c r="H28">
        <f>H$13-'06_M_comercio'!$H$30-'07_M_transporte'!$H$30-'08_M_impostos'!$H$43-'09_M_importacoes'!$H$73</f>
        <v>117.59632771485886</v>
      </c>
      <c r="I28">
        <f>I$13-'06_M_comercio'!$I$30-'07_M_transporte'!$I$30-'08_M_impostos'!$I$43-'09_M_importacoes'!$I$73</f>
        <v>215.76732976915795</v>
      </c>
      <c r="J28">
        <f>J$13-'06_M_comercio'!$J$30-'07_M_transporte'!$J$30-'08_M_impostos'!$J$43-'09_M_importacoes'!$J$73</f>
        <v>166.67855540394908</v>
      </c>
      <c r="K28">
        <f>K$13-'06_M_comercio'!$K$30-'07_M_transporte'!$K$30-'08_M_impostos'!$K$43-'09_M_importacoes'!$K$73</f>
        <v>22.187163261613502</v>
      </c>
      <c r="L28">
        <f>L$13-'06_M_comercio'!$L$30-'07_M_transporte'!$L$30-'08_M_impostos'!$L$43-'09_M_importacoes'!$L$73</f>
        <v>575.9325408778119</v>
      </c>
      <c r="M28">
        <f>M$13-'06_M_comercio'!$M$30-'07_M_transporte'!$M$30-'08_M_impostos'!$M$43-'09_M_importacoes'!$M$73</f>
        <v>1016.1760326587616</v>
      </c>
      <c r="N28">
        <f>N$13-'06_M_comercio'!$N$30-'07_M_transporte'!$N$30-'08_M_impostos'!$N$43-'09_M_importacoes'!$N$73</f>
        <v>39.490347986295099</v>
      </c>
      <c r="O28">
        <f>O$13-'06_M_comercio'!$O$30-'07_M_transporte'!$O$30-'08_M_impostos'!$O$43-'09_M_importacoes'!$O$73</f>
        <v>135.78653491351042</v>
      </c>
      <c r="P28">
        <f>P$13-'06_M_comercio'!$P$30-'07_M_transporte'!$P$30-'08_M_impostos'!$P$43-'09_M_importacoes'!$P$73</f>
        <v>359.91129854789313</v>
      </c>
      <c r="Q28">
        <f>Q$13-'06_M_comercio'!$Q$30-'07_M_transporte'!$Q$30-'08_M_impostos'!$Q$43-'09_M_importacoes'!$Q$73</f>
        <v>5624.1173584776679</v>
      </c>
      <c r="R28">
        <f>R$13-'06_M_comercio'!$R$30-'07_M_transporte'!$R$30-'08_M_impostos'!$R$43-'09_M_importacoes'!$R$73</f>
        <v>295.07834502354103</v>
      </c>
      <c r="S28">
        <f>S$13-'06_M_comercio'!$S$30-'07_M_transporte'!$S$30-'08_M_impostos'!$S$43-'09_M_importacoes'!$S$73</f>
        <v>101.17908920174604</v>
      </c>
      <c r="T28">
        <f>T$13-'06_M_comercio'!$T$30-'07_M_transporte'!$T$30-'08_M_impostos'!$T$43-'09_M_importacoes'!$T$73</f>
        <v>0</v>
      </c>
      <c r="U28">
        <f t="shared" si="0"/>
        <v>9930.527036918189</v>
      </c>
      <c r="V28">
        <f>'01_Recursos'!$W$12</f>
        <v>9930.5270369181944</v>
      </c>
      <c r="W28">
        <f t="shared" si="1"/>
        <v>0</v>
      </c>
    </row>
    <row r="29" spans="1:23" x14ac:dyDescent="0.25">
      <c r="A29" t="s">
        <v>80</v>
      </c>
      <c r="B29">
        <f>B$14-'06_M_comercio'!$B$31-'07_M_transporte'!$B$31-'08_M_impostos'!$B$44-'09_M_importacoes'!$B$74</f>
        <v>0</v>
      </c>
      <c r="C29">
        <f>C$14-'06_M_comercio'!$C$31-'07_M_transporte'!$C$31-'08_M_impostos'!$C$44-'09_M_importacoes'!$C$74</f>
        <v>0</v>
      </c>
      <c r="D29">
        <f>D$14-'06_M_comercio'!$D$31-'07_M_transporte'!$D$31-'08_M_impostos'!$D$44-'09_M_importacoes'!$D$74</f>
        <v>0</v>
      </c>
      <c r="E29">
        <f>E$14-'06_M_comercio'!$E$31-'07_M_transporte'!$E$31-'08_M_impostos'!$E$44-'09_M_importacoes'!$E$74</f>
        <v>0</v>
      </c>
      <c r="F29">
        <f>F$14-'06_M_comercio'!$F$31-'07_M_transporte'!$F$31-'08_M_impostos'!$F$44-'09_M_importacoes'!$F$74</f>
        <v>0</v>
      </c>
      <c r="G29">
        <f>G$14-'06_M_comercio'!$G$31-'07_M_transporte'!$G$31-'08_M_impostos'!$G$44-'09_M_importacoes'!$G$74</f>
        <v>0</v>
      </c>
      <c r="H29">
        <f>H$14-'06_M_comercio'!$H$31-'07_M_transporte'!$H$31-'08_M_impostos'!$H$44-'09_M_importacoes'!$H$74</f>
        <v>0</v>
      </c>
      <c r="I29">
        <f>I$14-'06_M_comercio'!$I$31-'07_M_transporte'!$I$31-'08_M_impostos'!$I$44-'09_M_importacoes'!$I$74</f>
        <v>0</v>
      </c>
      <c r="J29">
        <f>J$14-'06_M_comercio'!$J$31-'07_M_transporte'!$J$31-'08_M_impostos'!$J$44-'09_M_importacoes'!$J$74</f>
        <v>0</v>
      </c>
      <c r="K29">
        <f>K$14-'06_M_comercio'!$K$31-'07_M_transporte'!$K$31-'08_M_impostos'!$K$44-'09_M_importacoes'!$K$74</f>
        <v>0</v>
      </c>
      <c r="L29">
        <f>L$14-'06_M_comercio'!$L$31-'07_M_transporte'!$L$31-'08_M_impostos'!$L$44-'09_M_importacoes'!$L$74</f>
        <v>0</v>
      </c>
      <c r="M29">
        <f>M$14-'06_M_comercio'!$M$31-'07_M_transporte'!$M$31-'08_M_impostos'!$M$44-'09_M_importacoes'!$M$74</f>
        <v>0</v>
      </c>
      <c r="N29">
        <f>N$14-'06_M_comercio'!$N$31-'07_M_transporte'!$N$31-'08_M_impostos'!$N$44-'09_M_importacoes'!$N$74</f>
        <v>0</v>
      </c>
      <c r="O29">
        <f>O$14-'06_M_comercio'!$O$31-'07_M_transporte'!$O$31-'08_M_impostos'!$O$44-'09_M_importacoes'!$O$74</f>
        <v>0</v>
      </c>
      <c r="P29">
        <f>P$14-'06_M_comercio'!$P$31-'07_M_transporte'!$P$31-'08_M_impostos'!$P$44-'09_M_importacoes'!$P$74</f>
        <v>19314.5449209543</v>
      </c>
      <c r="Q29">
        <f>Q$14-'06_M_comercio'!$Q$31-'07_M_transporte'!$Q$31-'08_M_impostos'!$Q$44-'09_M_importacoes'!$Q$74</f>
        <v>0</v>
      </c>
      <c r="R29">
        <f>R$14-'06_M_comercio'!$R$31-'07_M_transporte'!$R$31-'08_M_impostos'!$R$44-'09_M_importacoes'!$R$74</f>
        <v>0</v>
      </c>
      <c r="S29">
        <f>S$14-'06_M_comercio'!$S$31-'07_M_transporte'!$S$31-'08_M_impostos'!$S$44-'09_M_importacoes'!$S$74</f>
        <v>0</v>
      </c>
      <c r="T29">
        <f>T$14-'06_M_comercio'!$T$31-'07_M_transporte'!$T$31-'08_M_impostos'!$T$44-'09_M_importacoes'!$T$74</f>
        <v>0</v>
      </c>
      <c r="U29">
        <f t="shared" si="0"/>
        <v>19314.5449209543</v>
      </c>
      <c r="V29">
        <f>'01_Recursos'!$W$13</f>
        <v>19314.5449209535</v>
      </c>
      <c r="W29">
        <f t="shared" si="1"/>
        <v>8.0035533756017685E-10</v>
      </c>
    </row>
    <row r="32" spans="1:23" x14ac:dyDescent="0.25">
      <c r="A32" s="3" t="s">
        <v>156</v>
      </c>
      <c r="B32">
        <f>SUMPRODUCT(($B$18:$T$29&lt;(-0.00000001))*($B$3:$T$14&gt;=0))</f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6"/>
  <sheetViews>
    <sheetView workbookViewId="0"/>
  </sheetViews>
  <sheetFormatPr defaultColWidth="11.42578125" defaultRowHeight="15" x14ac:dyDescent="0.25"/>
  <cols>
    <col min="1" max="1" width="44.7109375" customWidth="1"/>
    <col min="2" max="14" width="16.7109375" customWidth="1"/>
  </cols>
  <sheetData>
    <row r="1" spans="1:13" ht="15.75" x14ac:dyDescent="0.25">
      <c r="A1" s="1" t="s">
        <v>157</v>
      </c>
    </row>
    <row r="2" spans="1:13" ht="90" x14ac:dyDescent="0.25">
      <c r="A2" s="2" t="s">
        <v>158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</row>
    <row r="3" spans="1:13" x14ac:dyDescent="0.25">
      <c r="A3" t="s">
        <v>69</v>
      </c>
      <c r="B3">
        <f>'01_Recursos'!$B$2/'01_Recursos'!$W$2</f>
        <v>0.99765500565606791</v>
      </c>
      <c r="C3">
        <f>'01_Recursos'!$B$3/'01_Recursos'!$W$3</f>
        <v>7.6874931654815314E-3</v>
      </c>
      <c r="D3">
        <f>'01_Recursos'!$B$4/'01_Recursos'!$W$4</f>
        <v>2.3930892488884057E-2</v>
      </c>
      <c r="E3">
        <f>'01_Recursos'!$B$5/'01_Recursos'!$W$5</f>
        <v>0</v>
      </c>
      <c r="F3">
        <f>'01_Recursos'!$B$6/'01_Recursos'!$W$6</f>
        <v>1.2549095281065395E-2</v>
      </c>
      <c r="G3">
        <f>'01_Recursos'!$B$7/'01_Recursos'!$W$7</f>
        <v>0</v>
      </c>
      <c r="H3">
        <f>'01_Recursos'!$B$8/'01_Recursos'!$W$8</f>
        <v>0</v>
      </c>
      <c r="I3">
        <f>'01_Recursos'!$B$9/'01_Recursos'!$W$9</f>
        <v>0</v>
      </c>
      <c r="J3">
        <f>'01_Recursos'!$B$10/'01_Recursos'!$W$10</f>
        <v>0</v>
      </c>
      <c r="K3">
        <f>'01_Recursos'!$B$11/'01_Recursos'!$W$11</f>
        <v>1.7566740146020702E-4</v>
      </c>
      <c r="L3">
        <f>'01_Recursos'!$B$12/'01_Recursos'!$W$12</f>
        <v>2.8580131252955676E-5</v>
      </c>
      <c r="M3">
        <f>'01_Recursos'!$B$13/'01_Recursos'!$W$13</f>
        <v>0</v>
      </c>
    </row>
    <row r="4" spans="1:13" x14ac:dyDescent="0.25">
      <c r="A4" t="s">
        <v>70</v>
      </c>
      <c r="B4">
        <f>'01_Recursos'!$C$2/'01_Recursos'!$W$2</f>
        <v>0</v>
      </c>
      <c r="C4">
        <f>'01_Recursos'!$C$3/'01_Recursos'!$W$3</f>
        <v>0.9765895729787375</v>
      </c>
      <c r="D4">
        <f>'01_Recursos'!$C$4/'01_Recursos'!$W$4</f>
        <v>6.324179998396138E-4</v>
      </c>
      <c r="E4">
        <f>'01_Recursos'!$C$5/'01_Recursos'!$W$5</f>
        <v>0</v>
      </c>
      <c r="F4">
        <f>'01_Recursos'!$C$6/'01_Recursos'!$W$6</f>
        <v>0</v>
      </c>
      <c r="G4">
        <f>'01_Recursos'!$C$7/'01_Recursos'!$W$7</f>
        <v>1.5978922624241568E-5</v>
      </c>
      <c r="H4">
        <f>'01_Recursos'!$C$8/'01_Recursos'!$W$8</f>
        <v>0</v>
      </c>
      <c r="I4">
        <f>'01_Recursos'!$C$9/'01_Recursos'!$W$9</f>
        <v>0</v>
      </c>
      <c r="J4">
        <f>'01_Recursos'!$C$10/'01_Recursos'!$W$10</f>
        <v>0</v>
      </c>
      <c r="K4">
        <f>'01_Recursos'!$C$11/'01_Recursos'!$W$11</f>
        <v>8.8294716001855426E-5</v>
      </c>
      <c r="L4">
        <f>'01_Recursos'!$C$12/'01_Recursos'!$W$12</f>
        <v>0</v>
      </c>
      <c r="M4">
        <f>'01_Recursos'!$C$13/'01_Recursos'!$W$13</f>
        <v>0</v>
      </c>
    </row>
    <row r="5" spans="1:13" x14ac:dyDescent="0.25">
      <c r="A5" t="s">
        <v>71</v>
      </c>
      <c r="B5">
        <f>'01_Recursos'!$D$2/'01_Recursos'!$W$2</f>
        <v>0</v>
      </c>
      <c r="C5">
        <f>'01_Recursos'!$D$3/'01_Recursos'!$W$3</f>
        <v>1.5596447798459777E-2</v>
      </c>
      <c r="D5">
        <f>'01_Recursos'!$D$4/'01_Recursos'!$W$4</f>
        <v>0.93610784811409475</v>
      </c>
      <c r="E5">
        <f>'01_Recursos'!$D$5/'01_Recursos'!$W$5</f>
        <v>0</v>
      </c>
      <c r="F5">
        <f>'01_Recursos'!$D$6/'01_Recursos'!$W$6</f>
        <v>0</v>
      </c>
      <c r="G5">
        <f>'01_Recursos'!$D$7/'01_Recursos'!$W$7</f>
        <v>1.4934224165684226E-2</v>
      </c>
      <c r="H5">
        <f>'01_Recursos'!$D$8/'01_Recursos'!$W$8</f>
        <v>0</v>
      </c>
      <c r="I5">
        <f>'01_Recursos'!$D$9/'01_Recursos'!$W$9</f>
        <v>0</v>
      </c>
      <c r="J5">
        <f>'01_Recursos'!$D$10/'01_Recursos'!$W$10</f>
        <v>0</v>
      </c>
      <c r="K5">
        <f>'01_Recursos'!$D$11/'01_Recursos'!$W$11</f>
        <v>9.3327846025474462E-3</v>
      </c>
      <c r="L5">
        <f>'01_Recursos'!$D$12/'01_Recursos'!$W$12</f>
        <v>1.3265696753308602E-5</v>
      </c>
      <c r="M5">
        <f>'01_Recursos'!$D$13/'01_Recursos'!$W$13</f>
        <v>0</v>
      </c>
    </row>
    <row r="6" spans="1:13" x14ac:dyDescent="0.25">
      <c r="A6" t="s">
        <v>72</v>
      </c>
      <c r="B6">
        <f>'01_Recursos'!$E$2/'01_Recursos'!$W$2</f>
        <v>0</v>
      </c>
      <c r="C6">
        <f>'01_Recursos'!$E$3/'01_Recursos'!$W$3</f>
        <v>0</v>
      </c>
      <c r="D6">
        <f>'01_Recursos'!$E$4/'01_Recursos'!$W$4</f>
        <v>0</v>
      </c>
      <c r="E6">
        <f>'01_Recursos'!$E$5/'01_Recursos'!$W$5</f>
        <v>0.99812854987684718</v>
      </c>
      <c r="F6">
        <f>'01_Recursos'!$E$6/'01_Recursos'!$W$6</f>
        <v>0</v>
      </c>
      <c r="G6">
        <f>'01_Recursos'!$E$7/'01_Recursos'!$W$7</f>
        <v>0</v>
      </c>
      <c r="H6">
        <f>'01_Recursos'!$E$8/'01_Recursos'!$W$8</f>
        <v>0</v>
      </c>
      <c r="I6">
        <f>'01_Recursos'!$E$9/'01_Recursos'!$W$9</f>
        <v>0</v>
      </c>
      <c r="J6">
        <f>'01_Recursos'!$E$10/'01_Recursos'!$W$10</f>
        <v>0</v>
      </c>
      <c r="K6">
        <f>'01_Recursos'!$E$11/'01_Recursos'!$W$11</f>
        <v>1.3315128657312676E-2</v>
      </c>
      <c r="L6">
        <f>'01_Recursos'!$E$12/'01_Recursos'!$W$12</f>
        <v>4.2828395318246552E-8</v>
      </c>
      <c r="M6">
        <f>'01_Recursos'!$E$13/'01_Recursos'!$W$13</f>
        <v>0</v>
      </c>
    </row>
    <row r="7" spans="1:13" x14ac:dyDescent="0.25">
      <c r="A7" t="s">
        <v>73</v>
      </c>
      <c r="B7">
        <f>'01_Recursos'!$F$2/'01_Recursos'!$W$2</f>
        <v>0</v>
      </c>
      <c r="C7">
        <f>'01_Recursos'!$F$3/'01_Recursos'!$W$3</f>
        <v>0</v>
      </c>
      <c r="D7">
        <f>'01_Recursos'!$F$4/'01_Recursos'!$W$4</f>
        <v>4.9645080238473892E-6</v>
      </c>
      <c r="E7">
        <f>'01_Recursos'!$F$5/'01_Recursos'!$W$5</f>
        <v>0</v>
      </c>
      <c r="F7">
        <f>'01_Recursos'!$F$6/'01_Recursos'!$W$6</f>
        <v>0.9874509047189346</v>
      </c>
      <c r="G7">
        <f>'01_Recursos'!$F$7/'01_Recursos'!$W$7</f>
        <v>0</v>
      </c>
      <c r="H7">
        <f>'01_Recursos'!$F$8/'01_Recursos'!$W$8</f>
        <v>0</v>
      </c>
      <c r="I7">
        <f>'01_Recursos'!$F$9/'01_Recursos'!$W$9</f>
        <v>0</v>
      </c>
      <c r="J7">
        <f>'01_Recursos'!$F$10/'01_Recursos'!$W$10</f>
        <v>0</v>
      </c>
      <c r="K7">
        <f>'01_Recursos'!$F$11/'01_Recursos'!$W$11</f>
        <v>9.0872315233573881E-4</v>
      </c>
      <c r="L7">
        <f>'01_Recursos'!$F$12/'01_Recursos'!$W$12</f>
        <v>3.4548178396967013E-4</v>
      </c>
      <c r="M7">
        <f>'01_Recursos'!$F$13/'01_Recursos'!$W$13</f>
        <v>0</v>
      </c>
    </row>
    <row r="8" spans="1:13" x14ac:dyDescent="0.25">
      <c r="A8" t="s">
        <v>74</v>
      </c>
      <c r="B8">
        <f>'01_Recursos'!$G$2/'01_Recursos'!$W$2</f>
        <v>1.0166001208849948E-3</v>
      </c>
      <c r="C8">
        <f>'01_Recursos'!$G$3/'01_Recursos'!$W$3</f>
        <v>1.264860573209983E-4</v>
      </c>
      <c r="D8">
        <f>'01_Recursos'!$G$4/'01_Recursos'!$W$4</f>
        <v>3.8740848362069855E-2</v>
      </c>
      <c r="E8">
        <f>'01_Recursos'!$G$5/'01_Recursos'!$W$5</f>
        <v>0</v>
      </c>
      <c r="F8">
        <f>'01_Recursos'!$G$6/'01_Recursos'!$W$6</f>
        <v>0</v>
      </c>
      <c r="G8">
        <f>'01_Recursos'!$G$7/'01_Recursos'!$W$7</f>
        <v>0.98178896013348227</v>
      </c>
      <c r="H8">
        <f>'01_Recursos'!$G$8/'01_Recursos'!$W$8</f>
        <v>3.9151723849007586E-3</v>
      </c>
      <c r="I8">
        <f>'01_Recursos'!$G$9/'01_Recursos'!$W$9</f>
        <v>1.9804287886507023E-3</v>
      </c>
      <c r="J8">
        <f>'01_Recursos'!$G$10/'01_Recursos'!$W$10</f>
        <v>0</v>
      </c>
      <c r="K8">
        <f>'01_Recursos'!$G$11/'01_Recursos'!$W$11</f>
        <v>8.417279114303686E-3</v>
      </c>
      <c r="L8">
        <f>'01_Recursos'!$G$12/'01_Recursos'!$W$12</f>
        <v>6.4656751540557262E-3</v>
      </c>
      <c r="M8">
        <f>'01_Recursos'!$G$13/'01_Recursos'!$W$13</f>
        <v>0</v>
      </c>
    </row>
    <row r="9" spans="1:13" x14ac:dyDescent="0.25">
      <c r="A9" t="s">
        <v>75</v>
      </c>
      <c r="B9">
        <f>'01_Recursos'!$H$2/'01_Recursos'!$W$2</f>
        <v>2.6822911439651533E-12</v>
      </c>
      <c r="C9">
        <f>'01_Recursos'!$H$3/'01_Recursos'!$W$3</f>
        <v>0</v>
      </c>
      <c r="D9">
        <f>'01_Recursos'!$H$4/'01_Recursos'!$W$4</f>
        <v>3.1968332127726591E-12</v>
      </c>
      <c r="E9">
        <f>'01_Recursos'!$H$5/'01_Recursos'!$W$5</f>
        <v>0</v>
      </c>
      <c r="F9">
        <f>'01_Recursos'!$H$6/'01_Recursos'!$W$6</f>
        <v>0</v>
      </c>
      <c r="G9">
        <f>'01_Recursos'!$H$7/'01_Recursos'!$W$7</f>
        <v>9.1583843170159719E-4</v>
      </c>
      <c r="H9">
        <f>'01_Recursos'!$H$8/'01_Recursos'!$W$8</f>
        <v>0.9882972399140898</v>
      </c>
      <c r="I9">
        <f>'01_Recursos'!$H$9/'01_Recursos'!$W$9</f>
        <v>4.8259832182516514E-4</v>
      </c>
      <c r="J9">
        <f>'01_Recursos'!$H$10/'01_Recursos'!$W$10</f>
        <v>0</v>
      </c>
      <c r="K9">
        <f>'01_Recursos'!$H$11/'01_Recursos'!$W$11</f>
        <v>1.944623002757007E-3</v>
      </c>
      <c r="L9">
        <f>'01_Recursos'!$H$12/'01_Recursos'!$W$12</f>
        <v>8.1846887653963338E-3</v>
      </c>
      <c r="M9">
        <f>'01_Recursos'!$H$13/'01_Recursos'!$W$13</f>
        <v>0</v>
      </c>
    </row>
    <row r="10" spans="1:13" x14ac:dyDescent="0.25">
      <c r="A10" t="s">
        <v>76</v>
      </c>
      <c r="B10">
        <f>'01_Recursos'!$I$2/'01_Recursos'!$W$2</f>
        <v>0</v>
      </c>
      <c r="C10">
        <f>'01_Recursos'!$I$3/'01_Recursos'!$W$3</f>
        <v>0</v>
      </c>
      <c r="D10">
        <f>'01_Recursos'!$I$4/'01_Recursos'!$W$4</f>
        <v>0</v>
      </c>
      <c r="E10">
        <f>'01_Recursos'!$I$5/'01_Recursos'!$W$5</f>
        <v>0</v>
      </c>
      <c r="F10">
        <f>'01_Recursos'!$I$6/'01_Recursos'!$W$6</f>
        <v>0</v>
      </c>
      <c r="G10">
        <f>'01_Recursos'!$I$7/'01_Recursos'!$W$7</f>
        <v>0</v>
      </c>
      <c r="H10">
        <f>'01_Recursos'!$I$8/'01_Recursos'!$W$8</f>
        <v>0</v>
      </c>
      <c r="I10">
        <f>'01_Recursos'!$I$9/'01_Recursos'!$W$9</f>
        <v>0.99215177085723749</v>
      </c>
      <c r="J10">
        <f>'01_Recursos'!$I$10/'01_Recursos'!$W$10</f>
        <v>0</v>
      </c>
      <c r="K10">
        <f>'01_Recursos'!$I$11/'01_Recursos'!$W$11</f>
        <v>3.3096390629574697E-5</v>
      </c>
      <c r="L10">
        <f>'01_Recursos'!$I$12/'01_Recursos'!$W$12</f>
        <v>1.1197580450787309E-5</v>
      </c>
      <c r="M10">
        <f>'01_Recursos'!$I$13/'01_Recursos'!$W$13</f>
        <v>0</v>
      </c>
    </row>
    <row r="11" spans="1:13" x14ac:dyDescent="0.25">
      <c r="A11" t="s">
        <v>77</v>
      </c>
      <c r="B11">
        <f>'01_Recursos'!$J$2/'01_Recursos'!$W$2</f>
        <v>0</v>
      </c>
      <c r="C11">
        <f>'01_Recursos'!$J$3/'01_Recursos'!$W$3</f>
        <v>0</v>
      </c>
      <c r="D11">
        <f>'01_Recursos'!$J$4/'01_Recursos'!$W$4</f>
        <v>0</v>
      </c>
      <c r="E11">
        <f>'01_Recursos'!$J$5/'01_Recursos'!$W$5</f>
        <v>0</v>
      </c>
      <c r="F11">
        <f>'01_Recursos'!$J$6/'01_Recursos'!$W$6</f>
        <v>0</v>
      </c>
      <c r="G11">
        <f>'01_Recursos'!$J$7/'01_Recursos'!$W$7</f>
        <v>0</v>
      </c>
      <c r="H11">
        <f>'01_Recursos'!$J$8/'01_Recursos'!$W$8</f>
        <v>0</v>
      </c>
      <c r="I11">
        <f>'01_Recursos'!$J$9/'01_Recursos'!$W$9</f>
        <v>3.0426923006705549E-3</v>
      </c>
      <c r="J11">
        <f>'01_Recursos'!$J$10/'01_Recursos'!$W$10</f>
        <v>1</v>
      </c>
      <c r="K11">
        <f>'01_Recursos'!$J$11/'01_Recursos'!$W$11</f>
        <v>9.8938424623685357E-3</v>
      </c>
      <c r="L11">
        <f>'01_Recursos'!$J$12/'01_Recursos'!$W$12</f>
        <v>6.8964129256202903E-4</v>
      </c>
      <c r="M11">
        <f>'01_Recursos'!$J$13/'01_Recursos'!$W$13</f>
        <v>0</v>
      </c>
    </row>
    <row r="12" spans="1:13" x14ac:dyDescent="0.25">
      <c r="A12" t="s">
        <v>78</v>
      </c>
      <c r="B12">
        <f>'01_Recursos'!$K$2/'01_Recursos'!$W$2</f>
        <v>0</v>
      </c>
      <c r="C12">
        <f>'01_Recursos'!$K$3/'01_Recursos'!$W$3</f>
        <v>0</v>
      </c>
      <c r="D12">
        <f>'01_Recursos'!$K$4/'01_Recursos'!$W$4</f>
        <v>0</v>
      </c>
      <c r="E12">
        <f>'01_Recursos'!$K$5/'01_Recursos'!$W$5</f>
        <v>0</v>
      </c>
      <c r="F12">
        <f>'01_Recursos'!$K$6/'01_Recursos'!$W$6</f>
        <v>0</v>
      </c>
      <c r="G12">
        <f>'01_Recursos'!$K$7/'01_Recursos'!$W$7</f>
        <v>0</v>
      </c>
      <c r="H12">
        <f>'01_Recursos'!$K$8/'01_Recursos'!$W$8</f>
        <v>0</v>
      </c>
      <c r="I12">
        <f>'01_Recursos'!$K$9/'01_Recursos'!$W$9</f>
        <v>0</v>
      </c>
      <c r="J12">
        <f>'01_Recursos'!$K$10/'01_Recursos'!$W$10</f>
        <v>0</v>
      </c>
      <c r="K12">
        <f>'01_Recursos'!$K$11/'01_Recursos'!$W$11</f>
        <v>0.94558413081841608</v>
      </c>
      <c r="L12">
        <f>'01_Recursos'!$K$12/'01_Recursos'!$W$12</f>
        <v>0</v>
      </c>
      <c r="M12">
        <f>'01_Recursos'!$K$13/'01_Recursos'!$W$13</f>
        <v>0</v>
      </c>
    </row>
    <row r="13" spans="1:13" x14ac:dyDescent="0.25">
      <c r="A13" t="s">
        <v>79</v>
      </c>
      <c r="B13">
        <f>'01_Recursos'!$L$2/'01_Recursos'!$W$2</f>
        <v>0</v>
      </c>
      <c r="C13">
        <f>'01_Recursos'!$L$3/'01_Recursos'!$W$3</f>
        <v>0</v>
      </c>
      <c r="D13">
        <f>'01_Recursos'!$L$4/'01_Recursos'!$W$4</f>
        <v>5.8302852389130867E-4</v>
      </c>
      <c r="E13">
        <f>'01_Recursos'!$L$5/'01_Recursos'!$W$5</f>
        <v>0</v>
      </c>
      <c r="F13">
        <f>'01_Recursos'!$L$6/'01_Recursos'!$W$6</f>
        <v>0</v>
      </c>
      <c r="G13">
        <f>'01_Recursos'!$L$7/'01_Recursos'!$W$7</f>
        <v>1.8660684819703937E-3</v>
      </c>
      <c r="H13">
        <f>'01_Recursos'!$L$8/'01_Recursos'!$W$8</f>
        <v>0</v>
      </c>
      <c r="I13">
        <f>'01_Recursos'!$L$9/'01_Recursos'!$W$9</f>
        <v>4.953199567712959E-4</v>
      </c>
      <c r="J13">
        <f>'01_Recursos'!$L$10/'01_Recursos'!$W$10</f>
        <v>0</v>
      </c>
      <c r="K13">
        <f>'01_Recursos'!$L$11/'01_Recursos'!$W$11</f>
        <v>8.6100950058697161E-3</v>
      </c>
      <c r="L13">
        <f>'01_Recursos'!$L$12/'01_Recursos'!$W$12</f>
        <v>0.95548814522736947</v>
      </c>
      <c r="M13">
        <f>'01_Recursos'!$L$13/'01_Recursos'!$W$13</f>
        <v>0</v>
      </c>
    </row>
    <row r="14" spans="1:13" x14ac:dyDescent="0.25">
      <c r="A14" t="s">
        <v>80</v>
      </c>
      <c r="B14">
        <f>'01_Recursos'!$M$2/'01_Recursos'!$W$2</f>
        <v>1.328394220364838E-3</v>
      </c>
      <c r="C14">
        <f>'01_Recursos'!$M$3/'01_Recursos'!$W$3</f>
        <v>0</v>
      </c>
      <c r="D14">
        <f>'01_Recursos'!$M$4/'01_Recursos'!$W$4</f>
        <v>0</v>
      </c>
      <c r="E14">
        <f>'01_Recursos'!$M$5/'01_Recursos'!$W$5</f>
        <v>1.8714501231527389E-3</v>
      </c>
      <c r="F14">
        <f>'01_Recursos'!$M$6/'01_Recursos'!$W$6</f>
        <v>0</v>
      </c>
      <c r="G14">
        <f>'01_Recursos'!$M$7/'01_Recursos'!$W$7</f>
        <v>4.7892986453728547E-4</v>
      </c>
      <c r="H14">
        <f>'01_Recursos'!$M$8/'01_Recursos'!$W$8</f>
        <v>7.7875877010094505E-3</v>
      </c>
      <c r="I14">
        <f>'01_Recursos'!$M$9/'01_Recursos'!$W$9</f>
        <v>1.8471897748447955E-3</v>
      </c>
      <c r="J14">
        <f>'01_Recursos'!$M$10/'01_Recursos'!$W$10</f>
        <v>0</v>
      </c>
      <c r="K14">
        <f>'01_Recursos'!$M$11/'01_Recursos'!$W$11</f>
        <v>1.6963346759976147E-3</v>
      </c>
      <c r="L14">
        <f>'01_Recursos'!$M$12/'01_Recursos'!$W$12</f>
        <v>2.8773281539794256E-2</v>
      </c>
      <c r="M14">
        <f>'01_Recursos'!$M$13/'01_Recursos'!$W$13</f>
        <v>1</v>
      </c>
    </row>
    <row r="16" spans="1:13" x14ac:dyDescent="0.25">
      <c r="A16" s="3" t="s">
        <v>159</v>
      </c>
      <c r="B16">
        <f t="shared" ref="B16:M16" si="0">SUM(B3:B14)</f>
        <v>1</v>
      </c>
      <c r="C16">
        <f t="shared" si="0"/>
        <v>0.99999999999999989</v>
      </c>
      <c r="D16">
        <f t="shared" si="0"/>
        <v>1.0000000000000002</v>
      </c>
      <c r="E16">
        <f t="shared" si="0"/>
        <v>0.99999999999999989</v>
      </c>
      <c r="F16">
        <f t="shared" si="0"/>
        <v>1</v>
      </c>
      <c r="G16">
        <f t="shared" si="0"/>
        <v>1</v>
      </c>
      <c r="H16">
        <f t="shared" si="0"/>
        <v>1</v>
      </c>
      <c r="I16">
        <f t="shared" si="0"/>
        <v>1</v>
      </c>
      <c r="J16">
        <f t="shared" si="0"/>
        <v>1</v>
      </c>
      <c r="K16">
        <f t="shared" si="0"/>
        <v>1.0000000000000002</v>
      </c>
      <c r="L16">
        <f t="shared" si="0"/>
        <v>0.99999999999999989</v>
      </c>
      <c r="M16">
        <f t="shared" si="0"/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workbookViewId="0"/>
  </sheetViews>
  <sheetFormatPr defaultColWidth="11.42578125" defaultRowHeight="15" x14ac:dyDescent="0.25"/>
  <cols>
    <col min="1" max="1" width="44.7109375" customWidth="1"/>
    <col min="2" max="4" width="24.7109375" customWidth="1"/>
  </cols>
  <sheetData>
    <row r="1" spans="1:4" ht="45" x14ac:dyDescent="0.25">
      <c r="A1" s="2" t="s">
        <v>160</v>
      </c>
      <c r="B1" s="2" t="s">
        <v>161</v>
      </c>
      <c r="C1" s="2" t="s">
        <v>162</v>
      </c>
      <c r="D1" s="2" t="s">
        <v>163</v>
      </c>
    </row>
    <row r="2" spans="1:4" x14ac:dyDescent="0.25">
      <c r="A2" t="s">
        <v>69</v>
      </c>
      <c r="B2">
        <f>'01_Recursos'!$B$15</f>
        <v>7608.782433432365</v>
      </c>
      <c r="C2">
        <f>'01_Recursos'!$W$2</f>
        <v>7347.4973680661105</v>
      </c>
      <c r="D2">
        <f>'03_VA'!$B$2</f>
        <v>4437.2007768029498</v>
      </c>
    </row>
    <row r="3" spans="1:4" x14ac:dyDescent="0.25">
      <c r="A3" t="s">
        <v>70</v>
      </c>
      <c r="B3">
        <f>'01_Recursos'!$C$15</f>
        <v>210.31197526440275</v>
      </c>
      <c r="C3">
        <f>'01_Recursos'!$W$3</f>
        <v>209.30483262759077</v>
      </c>
      <c r="D3">
        <f>'03_VA'!$C$2</f>
        <v>109.639553878613</v>
      </c>
    </row>
    <row r="4" spans="1:4" x14ac:dyDescent="0.25">
      <c r="A4" t="s">
        <v>71</v>
      </c>
      <c r="B4">
        <f>'01_Recursos'!$D$15</f>
        <v>8145.6055634928534</v>
      </c>
      <c r="C4">
        <f>'01_Recursos'!$W$4</f>
        <v>8501.0597115219716</v>
      </c>
      <c r="D4">
        <f>'03_VA'!$D$2</f>
        <v>1393.3765802149201</v>
      </c>
    </row>
    <row r="5" spans="1:4" x14ac:dyDescent="0.25">
      <c r="A5" t="s">
        <v>72</v>
      </c>
      <c r="B5">
        <f>'01_Recursos'!$E$15</f>
        <v>4091.9781914344376</v>
      </c>
      <c r="C5">
        <f>'01_Recursos'!$W$5</f>
        <v>4042.8135613132636</v>
      </c>
      <c r="D5">
        <f>'03_VA'!$E$2</f>
        <v>1585.1014174741899</v>
      </c>
    </row>
    <row r="6" spans="1:4" x14ac:dyDescent="0.25">
      <c r="A6" t="s">
        <v>73</v>
      </c>
      <c r="B6">
        <f>'01_Recursos'!$F$15</f>
        <v>5707.0916361883983</v>
      </c>
      <c r="C6">
        <f>'01_Recursos'!$W$6</f>
        <v>5772.1826010380846</v>
      </c>
      <c r="D6">
        <f>'03_VA'!$F$2</f>
        <v>2472.1586991894401</v>
      </c>
    </row>
    <row r="7" spans="1:4" x14ac:dyDescent="0.25">
      <c r="A7" t="s">
        <v>74</v>
      </c>
      <c r="B7">
        <f>'01_Recursos'!$G$15</f>
        <v>9952.0247863957829</v>
      </c>
      <c r="C7">
        <f>'01_Recursos'!$W$7</f>
        <v>9678.2836176043074</v>
      </c>
      <c r="D7">
        <f>'03_VA'!$G$2</f>
        <v>6361.6559667895099</v>
      </c>
    </row>
    <row r="8" spans="1:4" x14ac:dyDescent="0.25">
      <c r="A8" t="s">
        <v>75</v>
      </c>
      <c r="B8">
        <f>'01_Recursos'!$H$15</f>
        <v>2653.5548443687544</v>
      </c>
      <c r="C8">
        <f>'01_Recursos'!$W$8</f>
        <v>2584.6516263226313</v>
      </c>
      <c r="D8">
        <f>'03_VA'!$H$2</f>
        <v>1146.04450117593</v>
      </c>
    </row>
    <row r="9" spans="1:4" x14ac:dyDescent="0.25">
      <c r="A9" t="s">
        <v>76</v>
      </c>
      <c r="B9">
        <f>'01_Recursos'!$I$15</f>
        <v>1487.7511000648062</v>
      </c>
      <c r="C9">
        <f>'01_Recursos'!$W$9</f>
        <v>1499.2654714397511</v>
      </c>
      <c r="D9">
        <f>'03_VA'!$I$2</f>
        <v>640.583951814682</v>
      </c>
    </row>
    <row r="10" spans="1:4" x14ac:dyDescent="0.25">
      <c r="A10" t="s">
        <v>77</v>
      </c>
      <c r="B10">
        <f>'01_Recursos'!$J$15</f>
        <v>2348.2000054803766</v>
      </c>
      <c r="C10">
        <f>'01_Recursos'!$W$10</f>
        <v>2294.6362244400698</v>
      </c>
      <c r="D10">
        <f>'03_VA'!$J$2</f>
        <v>1513.67235466691</v>
      </c>
    </row>
    <row r="11" spans="1:4" x14ac:dyDescent="0.25">
      <c r="A11" t="s">
        <v>78</v>
      </c>
      <c r="B11">
        <f>'01_Recursos'!$K$15</f>
        <v>4028.73384596802</v>
      </c>
      <c r="C11">
        <f>'01_Recursos'!$W$11</f>
        <v>4260.5768378125122</v>
      </c>
      <c r="D11">
        <f>'03_VA'!$K$2</f>
        <v>3742.37945376671</v>
      </c>
    </row>
    <row r="12" spans="1:4" x14ac:dyDescent="0.25">
      <c r="A12" t="s">
        <v>79</v>
      </c>
      <c r="B12">
        <f>'01_Recursos'!$L$15</f>
        <v>9548.9441474105897</v>
      </c>
      <c r="C12">
        <f>'01_Recursos'!$W$12</f>
        <v>9930.5270369181944</v>
      </c>
      <c r="D12">
        <f>'03_VA'!$L$2</f>
        <v>6401.0099220749398</v>
      </c>
    </row>
    <row r="13" spans="1:4" x14ac:dyDescent="0.25">
      <c r="A13" t="s">
        <v>80</v>
      </c>
      <c r="B13">
        <f>'01_Recursos'!$M$15</f>
        <v>19652.365280557206</v>
      </c>
      <c r="C13">
        <f>'01_Recursos'!$W$13</f>
        <v>19314.5449209535</v>
      </c>
      <c r="D13">
        <f>'03_VA'!$M$2</f>
        <v>14891.5787888832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4"/>
  <sheetViews>
    <sheetView topLeftCell="C1" workbookViewId="0"/>
  </sheetViews>
  <sheetFormatPr defaultColWidth="11.42578125" defaultRowHeight="15" x14ac:dyDescent="0.25"/>
  <cols>
    <col min="1" max="1" width="44.7109375" customWidth="1"/>
    <col min="2" max="14" width="16.7109375" customWidth="1"/>
  </cols>
  <sheetData>
    <row r="1" spans="1:13" ht="15.75" x14ac:dyDescent="0.25">
      <c r="A1" s="1" t="s">
        <v>164</v>
      </c>
    </row>
    <row r="2" spans="1:13" ht="90" x14ac:dyDescent="0.25">
      <c r="A2" s="2" t="s">
        <v>165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</row>
    <row r="3" spans="1:13" x14ac:dyDescent="0.25">
      <c r="A3" t="s">
        <v>69</v>
      </c>
      <c r="B3">
        <f>'10_Usos_basicos'!$B$18/'12_X'!$B$2</f>
        <v>3.2970202354623543E-2</v>
      </c>
      <c r="C3">
        <f>'10_Usos_basicos'!$C$18/'12_X'!$B$3</f>
        <v>4.1475333154730195E-5</v>
      </c>
      <c r="D3">
        <f>'10_Usos_basicos'!$D$18/'12_X'!$B$4</f>
        <v>0.14566649914418855</v>
      </c>
      <c r="E3">
        <f>'10_Usos_basicos'!$E$18/'12_X'!$B$5</f>
        <v>4.8426102909550659E-5</v>
      </c>
      <c r="F3">
        <f>'10_Usos_basicos'!$F$18/'12_X'!$B$6</f>
        <v>1.2992579112378554E-3</v>
      </c>
      <c r="G3">
        <f>'10_Usos_basicos'!$G$18/'12_X'!$B$7</f>
        <v>4.789325115456323E-3</v>
      </c>
      <c r="H3">
        <f>'10_Usos_basicos'!$H$18/'12_X'!$B$8</f>
        <v>0</v>
      </c>
      <c r="I3">
        <f>'10_Usos_basicos'!$I$18/'12_X'!$B$9</f>
        <v>0</v>
      </c>
      <c r="J3">
        <f>'10_Usos_basicos'!$J$18/'12_X'!$B$10</f>
        <v>0</v>
      </c>
      <c r="K3">
        <f>'10_Usos_basicos'!$K$18/'12_X'!$B$11</f>
        <v>0</v>
      </c>
      <c r="L3">
        <f>'10_Usos_basicos'!$L$18/'12_X'!$B$12</f>
        <v>5.300733261908031E-3</v>
      </c>
      <c r="M3">
        <f>'10_Usos_basicos'!$M$18/'12_X'!$B$13</f>
        <v>1.7136252089792177E-3</v>
      </c>
    </row>
    <row r="4" spans="1:13" x14ac:dyDescent="0.25">
      <c r="A4" t="s">
        <v>70</v>
      </c>
      <c r="B4">
        <f>'10_Usos_basicos'!$B$19/'12_X'!$B$2</f>
        <v>5.6357922609077884E-4</v>
      </c>
      <c r="C4">
        <f>'10_Usos_basicos'!$C$19/'12_X'!$B$3</f>
        <v>1.1502758262449978E-2</v>
      </c>
      <c r="D4">
        <f>'10_Usos_basicos'!$D$19/'12_X'!$B$4</f>
        <v>8.9191036346890941E-3</v>
      </c>
      <c r="E4">
        <f>'10_Usos_basicos'!$E$19/'12_X'!$B$5</f>
        <v>4.7596595224430539E-4</v>
      </c>
      <c r="F4">
        <f>'10_Usos_basicos'!$F$19/'12_X'!$B$6</f>
        <v>8.6370508667823545E-3</v>
      </c>
      <c r="G4">
        <f>'10_Usos_basicos'!$G$19/'12_X'!$B$7</f>
        <v>2.6585779617518736E-5</v>
      </c>
      <c r="H4">
        <f>'10_Usos_basicos'!$H$19/'12_X'!$B$8</f>
        <v>8.4022627994908851E-7</v>
      </c>
      <c r="I4">
        <f>'10_Usos_basicos'!$I$19/'12_X'!$B$9</f>
        <v>0</v>
      </c>
      <c r="J4">
        <f>'10_Usos_basicos'!$J$19/'12_X'!$B$10</f>
        <v>0</v>
      </c>
      <c r="K4">
        <f>'10_Usos_basicos'!$K$19/'12_X'!$B$11</f>
        <v>7.1167649551049001E-4</v>
      </c>
      <c r="L4">
        <f>'10_Usos_basicos'!$L$19/'12_X'!$B$12</f>
        <v>2.0806300625998677E-5</v>
      </c>
      <c r="M4">
        <f>'10_Usos_basicos'!$M$19/'12_X'!$B$13</f>
        <v>4.9851619513688593E-5</v>
      </c>
    </row>
    <row r="5" spans="1:13" x14ac:dyDescent="0.25">
      <c r="A5" t="s">
        <v>71</v>
      </c>
      <c r="B5">
        <f>'10_Usos_basicos'!$B$20/'12_X'!$B$2</f>
        <v>5.4579133818918699E-2</v>
      </c>
      <c r="C5">
        <f>'10_Usos_basicos'!$C$20/'12_X'!$B$3</f>
        <v>5.075818608941142E-2</v>
      </c>
      <c r="D5">
        <f>'10_Usos_basicos'!$D$20/'12_X'!$B$4</f>
        <v>7.9002792926185131E-2</v>
      </c>
      <c r="E5">
        <f>'10_Usos_basicos'!$E$20/'12_X'!$B$5</f>
        <v>1.8237133216317963E-2</v>
      </c>
      <c r="F5">
        <f>'10_Usos_basicos'!$F$20/'12_X'!$B$6</f>
        <v>6.3258180407395476E-2</v>
      </c>
      <c r="G5">
        <f>'10_Usos_basicos'!$G$20/'12_X'!$B$7</f>
        <v>1.6557690903413979E-2</v>
      </c>
      <c r="H5">
        <f>'10_Usos_basicos'!$H$20/'12_X'!$B$8</f>
        <v>5.1908067024200852E-2</v>
      </c>
      <c r="I5">
        <f>'10_Usos_basicos'!$I$20/'12_X'!$B$9</f>
        <v>7.6145283617182636E-3</v>
      </c>
      <c r="J5">
        <f>'10_Usos_basicos'!$J$20/'12_X'!$B$10</f>
        <v>2.4297433612516651E-3</v>
      </c>
      <c r="K5">
        <f>'10_Usos_basicos'!$K$20/'12_X'!$B$11</f>
        <v>2.3647150341714242E-3</v>
      </c>
      <c r="L5">
        <f>'10_Usos_basicos'!$L$20/'12_X'!$B$12</f>
        <v>2.2781884229304095E-2</v>
      </c>
      <c r="M5">
        <f>'10_Usos_basicos'!$M$20/'12_X'!$B$13</f>
        <v>8.8310534875375851E-3</v>
      </c>
    </row>
    <row r="6" spans="1:13" x14ac:dyDescent="0.25">
      <c r="A6" t="s">
        <v>72</v>
      </c>
      <c r="B6">
        <f>'10_Usos_basicos'!$B$21/'12_X'!$B$2</f>
        <v>1.80781053907716E-2</v>
      </c>
      <c r="C6">
        <f>'10_Usos_basicos'!$C$21/'12_X'!$B$3</f>
        <v>3.3379809194074038E-2</v>
      </c>
      <c r="D6">
        <f>'10_Usos_basicos'!$D$21/'12_X'!$B$4</f>
        <v>1.494032231969852E-2</v>
      </c>
      <c r="E6">
        <f>'10_Usos_basicos'!$E$21/'12_X'!$B$5</f>
        <v>0.32143288256486735</v>
      </c>
      <c r="F6">
        <f>'10_Usos_basicos'!$F$21/'12_X'!$B$6</f>
        <v>1.7140636775389228E-3</v>
      </c>
      <c r="G6">
        <f>'10_Usos_basicos'!$G$21/'12_X'!$B$7</f>
        <v>2.281853623014659E-2</v>
      </c>
      <c r="H6">
        <f>'10_Usos_basicos'!$H$21/'12_X'!$B$8</f>
        <v>8.7432670826013258E-3</v>
      </c>
      <c r="I6">
        <f>'10_Usos_basicos'!$I$21/'12_X'!$B$9</f>
        <v>1.2984238458944539E-2</v>
      </c>
      <c r="J6">
        <f>'10_Usos_basicos'!$J$21/'12_X'!$B$10</f>
        <v>4.8960665760063122E-3</v>
      </c>
      <c r="K6">
        <f>'10_Usos_basicos'!$K$21/'12_X'!$B$11</f>
        <v>1.5701075879009088E-3</v>
      </c>
      <c r="L6">
        <f>'10_Usos_basicos'!$L$21/'12_X'!$B$12</f>
        <v>2.0172775991753562E-2</v>
      </c>
      <c r="M6">
        <f>'10_Usos_basicos'!$M$21/'12_X'!$B$13</f>
        <v>1.7274957767047176E-2</v>
      </c>
    </row>
    <row r="7" spans="1:13" x14ac:dyDescent="0.25">
      <c r="A7" t="s">
        <v>73</v>
      </c>
      <c r="B7">
        <f>'10_Usos_basicos'!$B$22/'12_X'!$B$2</f>
        <v>4.7419715179998007E-4</v>
      </c>
      <c r="C7">
        <f>'10_Usos_basicos'!$C$22/'12_X'!$B$3</f>
        <v>6.1878002618883103E-5</v>
      </c>
      <c r="D7">
        <f>'10_Usos_basicos'!$D$22/'12_X'!$B$4</f>
        <v>2.6237826542110877E-4</v>
      </c>
      <c r="E7">
        <f>'10_Usos_basicos'!$E$22/'12_X'!$B$5</f>
        <v>1.8228197477820052E-2</v>
      </c>
      <c r="F7">
        <f>'10_Usos_basicos'!$F$22/'12_X'!$B$6</f>
        <v>0.11662414009407324</v>
      </c>
      <c r="G7">
        <f>'10_Usos_basicos'!$G$22/'12_X'!$B$7</f>
        <v>1.060115966552378E-3</v>
      </c>
      <c r="H7">
        <f>'10_Usos_basicos'!$H$22/'12_X'!$B$8</f>
        <v>2.9706596944467402E-3</v>
      </c>
      <c r="I7">
        <f>'10_Usos_basicos'!$I$22/'12_X'!$B$9</f>
        <v>2.1543264143948526E-2</v>
      </c>
      <c r="J7">
        <f>'10_Usos_basicos'!$J$22/'12_X'!$B$10</f>
        <v>1.9731525398711943E-3</v>
      </c>
      <c r="K7">
        <f>'10_Usos_basicos'!$K$22/'12_X'!$B$11</f>
        <v>2.4686074969041032E-3</v>
      </c>
      <c r="L7">
        <f>'10_Usos_basicos'!$L$22/'12_X'!$B$12</f>
        <v>2.4565114615723331E-3</v>
      </c>
      <c r="M7">
        <f>'10_Usos_basicos'!$M$22/'12_X'!$B$13</f>
        <v>1.7434607571157508E-2</v>
      </c>
    </row>
    <row r="8" spans="1:13" x14ac:dyDescent="0.25">
      <c r="A8" t="s">
        <v>74</v>
      </c>
      <c r="B8">
        <f>'10_Usos_basicos'!$B$23/'12_X'!$B$2</f>
        <v>6.8894893058235804E-2</v>
      </c>
      <c r="C8">
        <f>'10_Usos_basicos'!$C$23/'12_X'!$B$3</f>
        <v>6.2298744395628637E-2</v>
      </c>
      <c r="D8">
        <f>'10_Usos_basicos'!$D$23/'12_X'!$B$4</f>
        <v>0.10035889249789749</v>
      </c>
      <c r="E8">
        <f>'10_Usos_basicos'!$E$23/'12_X'!$B$5</f>
        <v>1.9120381187461868E-2</v>
      </c>
      <c r="F8">
        <f>'10_Usos_basicos'!$F$23/'12_X'!$B$6</f>
        <v>7.6872634112215177E-2</v>
      </c>
      <c r="G8">
        <f>'10_Usos_basicos'!$G$23/'12_X'!$B$7</f>
        <v>1.0939044951470413E-2</v>
      </c>
      <c r="H8">
        <f>'10_Usos_basicos'!$H$23/'12_X'!$B$8</f>
        <v>3.7499960806980051E-2</v>
      </c>
      <c r="I8">
        <f>'10_Usos_basicos'!$I$23/'12_X'!$B$9</f>
        <v>-6.4892091534507956E-3</v>
      </c>
      <c r="J8">
        <f>'10_Usos_basicos'!$J$23/'12_X'!$B$10</f>
        <v>4.4963632556827213E-3</v>
      </c>
      <c r="K8">
        <f>'10_Usos_basicos'!$K$23/'12_X'!$B$11</f>
        <v>3.0181950263648851E-3</v>
      </c>
      <c r="L8">
        <f>'10_Usos_basicos'!$L$23/'12_X'!$B$12</f>
        <v>2.7106918611316713E-2</v>
      </c>
      <c r="M8">
        <f>'10_Usos_basicos'!$M$23/'12_X'!$B$13</f>
        <v>7.8123070309411517E-3</v>
      </c>
    </row>
    <row r="9" spans="1:13" x14ac:dyDescent="0.25">
      <c r="A9" t="s">
        <v>75</v>
      </c>
      <c r="B9">
        <f>'10_Usos_basicos'!$B$24/'12_X'!$B$2</f>
        <v>1.3475276014158119E-2</v>
      </c>
      <c r="C9">
        <f>'10_Usos_basicos'!$C$24/'12_X'!$B$3</f>
        <v>2.5696009105474631E-2</v>
      </c>
      <c r="D9">
        <f>'10_Usos_basicos'!$D$24/'12_X'!$B$4</f>
        <v>4.2570508859368354E-2</v>
      </c>
      <c r="E9">
        <f>'10_Usos_basicos'!$E$24/'12_X'!$B$5</f>
        <v>4.782688150312308E-3</v>
      </c>
      <c r="F9">
        <f>'10_Usos_basicos'!$F$24/'12_X'!$B$6</f>
        <v>9.571236166896941E-3</v>
      </c>
      <c r="G9">
        <f>'10_Usos_basicos'!$G$24/'12_X'!$B$7</f>
        <v>3.3534101696752451E-2</v>
      </c>
      <c r="H9">
        <f>'10_Usos_basicos'!$H$24/'12_X'!$B$8</f>
        <v>8.1036066986170385E-2</v>
      </c>
      <c r="I9">
        <f>'10_Usos_basicos'!$I$24/'12_X'!$B$9</f>
        <v>5.4279422994531531E-3</v>
      </c>
      <c r="J9">
        <f>'10_Usos_basicos'!$J$24/'12_X'!$B$10</f>
        <v>8.2511190669624628E-3</v>
      </c>
      <c r="K9">
        <f>'10_Usos_basicos'!$K$24/'12_X'!$B$11</f>
        <v>6.2046508373834292E-4</v>
      </c>
      <c r="L9">
        <f>'10_Usos_basicos'!$L$24/'12_X'!$B$12</f>
        <v>1.0748467942923416E-2</v>
      </c>
      <c r="M9">
        <f>'10_Usos_basicos'!$M$24/'12_X'!$B$13</f>
        <v>7.6029345250261272E-3</v>
      </c>
    </row>
    <row r="10" spans="1:13" x14ac:dyDescent="0.25">
      <c r="A10" t="s">
        <v>76</v>
      </c>
      <c r="B10">
        <f>'10_Usos_basicos'!$B$25/'12_X'!$B$2</f>
        <v>5.4391128316344598E-5</v>
      </c>
      <c r="C10">
        <f>'10_Usos_basicos'!$C$25/'12_X'!$B$3</f>
        <v>7.2909964776525493E-4</v>
      </c>
      <c r="D10">
        <f>'10_Usos_basicos'!$D$25/'12_X'!$B$4</f>
        <v>4.0157735062923069E-3</v>
      </c>
      <c r="E10">
        <f>'10_Usos_basicos'!$E$25/'12_X'!$B$5</f>
        <v>6.7419435476432903E-3</v>
      </c>
      <c r="F10">
        <f>'10_Usos_basicos'!$F$25/'12_X'!$B$6</f>
        <v>1.9675878554872785E-3</v>
      </c>
      <c r="G10">
        <f>'10_Usos_basicos'!$G$25/'12_X'!$B$7</f>
        <v>1.0393482698875914E-2</v>
      </c>
      <c r="H10">
        <f>'10_Usos_basicos'!$H$25/'12_X'!$B$8</f>
        <v>8.033284938573958E-3</v>
      </c>
      <c r="I10">
        <f>'10_Usos_basicos'!$I$25/'12_X'!$B$9</f>
        <v>0.11786063435151388</v>
      </c>
      <c r="J10">
        <f>'10_Usos_basicos'!$J$25/'12_X'!$B$10</f>
        <v>3.0083106332089254E-2</v>
      </c>
      <c r="K10">
        <f>'10_Usos_basicos'!$K$25/'12_X'!$B$11</f>
        <v>9.958125089432274E-4</v>
      </c>
      <c r="L10">
        <f>'10_Usos_basicos'!$L$25/'12_X'!$B$12</f>
        <v>1.4379509709770259E-2</v>
      </c>
      <c r="M10">
        <f>'10_Usos_basicos'!$M$25/'12_X'!$B$13</f>
        <v>1.3629962633626341E-2</v>
      </c>
    </row>
    <row r="11" spans="1:13" x14ac:dyDescent="0.25">
      <c r="A11" t="s">
        <v>77</v>
      </c>
      <c r="B11">
        <f>'10_Usos_basicos'!$B$26/'12_X'!$B$2</f>
        <v>6.4443022198977006E-3</v>
      </c>
      <c r="C11">
        <f>'10_Usos_basicos'!$C$26/'12_X'!$B$3</f>
        <v>1.3061957130339572E-2</v>
      </c>
      <c r="D11">
        <f>'10_Usos_basicos'!$D$26/'12_X'!$B$4</f>
        <v>8.4443487899600635E-3</v>
      </c>
      <c r="E11">
        <f>'10_Usos_basicos'!$E$26/'12_X'!$B$5</f>
        <v>1.2016312565183998E-2</v>
      </c>
      <c r="F11">
        <f>'10_Usos_basicos'!$F$26/'12_X'!$B$6</f>
        <v>6.3732589046765313E-3</v>
      </c>
      <c r="G11">
        <f>'10_Usos_basicos'!$G$26/'12_X'!$B$7</f>
        <v>9.2997899951338218E-3</v>
      </c>
      <c r="H11">
        <f>'10_Usos_basicos'!$H$26/'12_X'!$B$8</f>
        <v>1.007455654232132E-2</v>
      </c>
      <c r="I11">
        <f>'10_Usos_basicos'!$I$26/'12_X'!$B$9</f>
        <v>1.6871216586428223E-2</v>
      </c>
      <c r="J11">
        <f>'10_Usos_basicos'!$J$26/'12_X'!$B$10</f>
        <v>5.8602263004881867E-2</v>
      </c>
      <c r="K11">
        <f>'10_Usos_basicos'!$K$26/'12_X'!$B$11</f>
        <v>1.4295225192262768E-2</v>
      </c>
      <c r="L11">
        <f>'10_Usos_basicos'!$L$26/'12_X'!$B$12</f>
        <v>5.8590511975038645E-3</v>
      </c>
      <c r="M11">
        <f>'10_Usos_basicos'!$M$26/'12_X'!$B$13</f>
        <v>1.28234498563844E-2</v>
      </c>
    </row>
    <row r="12" spans="1:13" x14ac:dyDescent="0.25">
      <c r="A12" t="s">
        <v>78</v>
      </c>
      <c r="B12">
        <f>'10_Usos_basicos'!$B$27/'12_X'!$B$2</f>
        <v>2.9466014630358128E-5</v>
      </c>
      <c r="C12">
        <f>'10_Usos_basicos'!$C$27/'12_X'!$B$3</f>
        <v>2.0749155891996367E-3</v>
      </c>
      <c r="D12">
        <f>'10_Usos_basicos'!$D$27/'12_X'!$B$4</f>
        <v>2.5466835014902145E-3</v>
      </c>
      <c r="E12">
        <f>'10_Usos_basicos'!$E$27/'12_X'!$B$5</f>
        <v>5.4175439430238347E-3</v>
      </c>
      <c r="F12">
        <f>'10_Usos_basicos'!$F$27/'12_X'!$B$6</f>
        <v>2.2665325261603782E-3</v>
      </c>
      <c r="G12">
        <f>'10_Usos_basicos'!$G$27/'12_X'!$B$7</f>
        <v>3.5458438790310118E-2</v>
      </c>
      <c r="H12">
        <f>'10_Usos_basicos'!$H$27/'12_X'!$B$8</f>
        <v>1.6237022374718375E-2</v>
      </c>
      <c r="I12">
        <f>'10_Usos_basicos'!$I$27/'12_X'!$B$9</f>
        <v>1.622009794819023E-2</v>
      </c>
      <c r="J12">
        <f>'10_Usos_basicos'!$J$27/'12_X'!$B$10</f>
        <v>9.1978138881988174E-3</v>
      </c>
      <c r="K12">
        <f>'10_Usos_basicos'!$K$27/'12_X'!$B$11</f>
        <v>2.9810169026973313E-3</v>
      </c>
      <c r="L12">
        <f>'10_Usos_basicos'!$L$27/'12_X'!$B$12</f>
        <v>1.8937539551712401E-2</v>
      </c>
      <c r="M12">
        <f>'10_Usos_basicos'!$M$27/'12_X'!$B$13</f>
        <v>2.5521190263282549E-3</v>
      </c>
    </row>
    <row r="13" spans="1:13" x14ac:dyDescent="0.25">
      <c r="A13" t="s">
        <v>79</v>
      </c>
      <c r="B13">
        <f>'10_Usos_basicos'!$B$28/'12_X'!$B$2</f>
        <v>3.5287603063647961E-3</v>
      </c>
      <c r="C13">
        <f>'10_Usos_basicos'!$C$28/'12_X'!$B$3</f>
        <v>3.7972335976961903E-2</v>
      </c>
      <c r="D13">
        <f>'10_Usos_basicos'!$D$28/'12_X'!$B$4</f>
        <v>3.5903977948928002E-2</v>
      </c>
      <c r="E13">
        <f>'10_Usos_basicos'!$E$28/'12_X'!$B$5</f>
        <v>4.4590334407362098E-2</v>
      </c>
      <c r="F13">
        <f>'10_Usos_basicos'!$F$28/'12_X'!$B$6</f>
        <v>1.9992644296139096E-2</v>
      </c>
      <c r="G13">
        <f>'10_Usos_basicos'!$G$28/'12_X'!$B$7</f>
        <v>6.3983797147738192E-2</v>
      </c>
      <c r="H13">
        <f>'10_Usos_basicos'!$H$28/'12_X'!$B$8</f>
        <v>4.4316524289828074E-2</v>
      </c>
      <c r="I13">
        <f>'10_Usos_basicos'!$I$28/'12_X'!$B$9</f>
        <v>0.1450291851639425</v>
      </c>
      <c r="J13">
        <f>'10_Usos_basicos'!$J$28/'12_X'!$B$10</f>
        <v>7.0981413429411555E-2</v>
      </c>
      <c r="K13">
        <f>'10_Usos_basicos'!$K$28/'12_X'!$B$11</f>
        <v>5.5072298419064202E-3</v>
      </c>
      <c r="L13">
        <f>'10_Usos_basicos'!$L$28/'12_X'!$B$12</f>
        <v>6.0313740659378445E-2</v>
      </c>
      <c r="M13">
        <f>'10_Usos_basicos'!$M$28/'12_X'!$B$13</f>
        <v>5.1707568944085389E-2</v>
      </c>
    </row>
    <row r="14" spans="1:13" x14ac:dyDescent="0.25">
      <c r="A14" t="s">
        <v>80</v>
      </c>
      <c r="B14">
        <f>'10_Usos_basicos'!$B$29/'12_X'!$B$2</f>
        <v>0</v>
      </c>
      <c r="C14">
        <f>'10_Usos_basicos'!$C$29/'12_X'!$B$3</f>
        <v>0</v>
      </c>
      <c r="D14">
        <f>'10_Usos_basicos'!$D$29/'12_X'!$B$4</f>
        <v>0</v>
      </c>
      <c r="E14">
        <f>'10_Usos_basicos'!$E$29/'12_X'!$B$5</f>
        <v>0</v>
      </c>
      <c r="F14">
        <f>'10_Usos_basicos'!$F$29/'12_X'!$B$6</f>
        <v>0</v>
      </c>
      <c r="G14">
        <f>'10_Usos_basicos'!$G$29/'12_X'!$B$7</f>
        <v>0</v>
      </c>
      <c r="H14">
        <f>'10_Usos_basicos'!$H$29/'12_X'!$B$8</f>
        <v>0</v>
      </c>
      <c r="I14">
        <f>'10_Usos_basicos'!$I$29/'12_X'!$B$9</f>
        <v>0</v>
      </c>
      <c r="J14">
        <f>'10_Usos_basicos'!$J$29/'12_X'!$B$10</f>
        <v>0</v>
      </c>
      <c r="K14">
        <f>'10_Usos_basicos'!$K$29/'12_X'!$B$11</f>
        <v>0</v>
      </c>
      <c r="L14">
        <f>'10_Usos_basicos'!$L$29/'12_X'!$B$12</f>
        <v>0</v>
      </c>
      <c r="M14">
        <f>'10_Usos_basicos'!$M$29/'12_X'!$B$13</f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4"/>
  <sheetViews>
    <sheetView workbookViewId="0"/>
  </sheetViews>
  <sheetFormatPr defaultColWidth="11.42578125" defaultRowHeight="15" x14ac:dyDescent="0.25"/>
  <cols>
    <col min="1" max="1" width="44.7109375" customWidth="1"/>
    <col min="2" max="14" width="16.7109375" customWidth="1"/>
  </cols>
  <sheetData>
    <row r="1" spans="1:13" ht="15.75" x14ac:dyDescent="0.25">
      <c r="A1" s="1" t="s">
        <v>166</v>
      </c>
    </row>
    <row r="2" spans="1:13" ht="90" x14ac:dyDescent="0.25">
      <c r="A2" s="2" t="s">
        <v>167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</row>
    <row r="3" spans="1:13" x14ac:dyDescent="0.25">
      <c r="A3" t="s">
        <v>69</v>
      </c>
      <c r="B3">
        <f t="array" ref="B3">MMULT('11_D'!$B$3:$M$3,'13_Bn'!$B$3:$B$14)</f>
        <v>3.4209404085480288E-2</v>
      </c>
      <c r="C3">
        <f t="array" ref="C3">MMULT('11_D'!$B$3:$M$3,'13_Bn'!$C$3:$C$14)</f>
        <v>1.3467204058229881E-3</v>
      </c>
      <c r="D3">
        <f t="array" ref="D3">MMULT('11_D'!$B$3:$M$3,'13_Bn'!$D$3:$D$14)</f>
        <v>0.14728885103919484</v>
      </c>
      <c r="E3">
        <f t="array" ref="E3">MMULT('11_D'!$B$3:$M$3,'13_Bn'!$E$3:$E$14)</f>
        <v>7.1937587371015334E-4</v>
      </c>
      <c r="F3">
        <f t="array" ref="F3">MMULT('11_D'!$B$3:$M$3,'13_Bn'!$F$3:$F$14)</f>
        <v>4.3409301370549288E-3</v>
      </c>
      <c r="G3">
        <f t="array" ref="G3">MMULT('11_D'!$B$3:$M$3,'13_Bn'!$G$3:$G$14)</f>
        <v>5.195899927418127E-3</v>
      </c>
      <c r="H3">
        <f t="array" ref="H3">MMULT('11_D'!$B$3:$M$3,'13_Bn'!$H$3:$H$14)</f>
        <v>1.2836108096578517E-3</v>
      </c>
      <c r="I3">
        <f t="array" ref="I3">MMULT('11_D'!$B$3:$M$3,'13_Bn'!$I$3:$I$14)</f>
        <v>4.5956522959089127E-4</v>
      </c>
      <c r="J3">
        <f t="array" ref="J3">MMULT('11_D'!$B$3:$M$3,'13_Bn'!$J$3:$J$14)</f>
        <v>8.6551620557800545E-5</v>
      </c>
      <c r="K3">
        <f t="array" ref="K3">MMULT('11_D'!$B$3:$M$3,'13_Bn'!$K$3:$K$14)</f>
        <v>9.3720604979804497E-5</v>
      </c>
      <c r="L3">
        <f t="array" ref="L3">MMULT('11_D'!$B$3:$M$3,'13_Bn'!$L$3:$L$14)</f>
        <v>5.8695313222475063E-3</v>
      </c>
      <c r="M3">
        <f t="array" ref="M3">MMULT('11_D'!$B$3:$M$3,'13_Bn'!$M$3:$M$14)</f>
        <v>2.1420396779378934E-3</v>
      </c>
    </row>
    <row r="4" spans="1:13" x14ac:dyDescent="0.25">
      <c r="A4" t="s">
        <v>70</v>
      </c>
      <c r="B4">
        <f t="array" ref="B4">MMULT('11_D'!$B$4:$M$4,'13_Bn'!$B$3:$B$14)</f>
        <v>5.8600589024919664E-4</v>
      </c>
      <c r="C4">
        <f t="array" ref="C4">MMULT('11_D'!$B$4:$M$4,'13_Bn'!$C$3:$C$14)</f>
        <v>1.1266752841024784E-2</v>
      </c>
      <c r="D4">
        <f t="array" ref="D4">MMULT('11_D'!$B$4:$M$4,'13_Bn'!$D$3:$D$14)</f>
        <v>8.762094883912639E-3</v>
      </c>
      <c r="E4">
        <f t="array" ref="E4">MMULT('11_D'!$B$4:$M$4,'13_Bn'!$E$3:$E$14)</f>
        <v>4.7714074096157408E-4</v>
      </c>
      <c r="F4">
        <f t="array" ref="F4">MMULT('11_D'!$B$4:$M$4,'13_Bn'!$F$3:$F$14)</f>
        <v>8.4762878944314585E-3</v>
      </c>
      <c r="G4">
        <f t="array" ref="G4">MMULT('11_D'!$B$4:$M$4,'13_Bn'!$G$3:$G$14)</f>
        <v>3.9740363862801335E-5</v>
      </c>
      <c r="H4">
        <f t="array" ref="H4">MMULT('11_D'!$B$4:$M$4,'13_Bn'!$H$3:$H$14)</f>
        <v>3.5681004398365067E-5</v>
      </c>
      <c r="I4">
        <f t="array" ref="I4">MMULT('11_D'!$B$4:$M$4,'13_Bn'!$I$3:$I$14)</f>
        <v>6.1440231671420989E-6</v>
      </c>
      <c r="J4">
        <f t="array" ref="J4">MMULT('11_D'!$B$4:$M$4,'13_Bn'!$J$3:$J$14)</f>
        <v>2.4205788422958316E-6</v>
      </c>
      <c r="K4">
        <f t="array" ref="K4">MMULT('11_D'!$B$4:$M$4,'13_Bn'!$K$3:$K$14)</f>
        <v>6.9682276874730674E-4</v>
      </c>
      <c r="L4">
        <f t="array" ref="L4">MMULT('11_D'!$B$4:$M$4,'13_Bn'!$L$3:$L$14)</f>
        <v>3.6832113932049622E-5</v>
      </c>
      <c r="M4">
        <f t="array" ref="M4">MMULT('11_D'!$B$4:$M$4,'13_Bn'!$M$3:$M$14)</f>
        <v>5.4619659870433618E-5</v>
      </c>
    </row>
    <row r="5" spans="1:13" x14ac:dyDescent="0.25">
      <c r="A5" t="s">
        <v>71</v>
      </c>
      <c r="B5">
        <f t="array" ref="B5">MMULT('11_D'!$B$5:$M$5,'13_Bn'!$B$3:$B$14)</f>
        <v>5.2129958933373535E-2</v>
      </c>
      <c r="C5">
        <f t="array" ref="C5">MMULT('11_D'!$B$5:$M$5,'13_Bn'!$C$3:$C$14)</f>
        <v>4.8644790406913836E-2</v>
      </c>
      <c r="D5">
        <f t="array" ref="D5">MMULT('11_D'!$B$5:$M$5,'13_Bn'!$D$3:$D$14)</f>
        <v>7.5617266952819465E-2</v>
      </c>
      <c r="E5">
        <f t="array" ref="E5">MMULT('11_D'!$B$5:$M$5,'13_Bn'!$E$3:$E$14)</f>
        <v>1.7416047260361851E-2</v>
      </c>
      <c r="F5">
        <f t="array" ref="F5">MMULT('11_D'!$B$5:$M$5,'13_Bn'!$F$3:$F$14)</f>
        <v>6.0520637876012875E-2</v>
      </c>
      <c r="G5">
        <f t="array" ref="G5">MMULT('11_D'!$B$5:$M$5,'13_Bn'!$G$3:$G$14)</f>
        <v>1.5995339955743589E-2</v>
      </c>
      <c r="H5">
        <f t="array" ref="H5">MMULT('11_D'!$B$5:$M$5,'13_Bn'!$H$3:$H$14)</f>
        <v>4.9303719369210373E-2</v>
      </c>
      <c r="I5">
        <f t="array" ref="I5">MMULT('11_D'!$B$5:$M$5,'13_Bn'!$I$3:$I$14)</f>
        <v>7.1844110485096285E-3</v>
      </c>
      <c r="J5">
        <f t="array" ref="J5">MMULT('11_D'!$B$5:$M$5,'13_Bn'!$J$3:$J$14)</f>
        <v>2.42843435990007E-3</v>
      </c>
      <c r="K5">
        <f t="array" ref="K5">MMULT('11_D'!$B$5:$M$5,'13_Bn'!$K$3:$K$14)</f>
        <v>2.2976965743428278E-3</v>
      </c>
      <c r="L5">
        <f t="array" ref="L5">MMULT('11_D'!$B$5:$M$5,'13_Bn'!$L$3:$L$14)</f>
        <v>2.1908986006574243E-2</v>
      </c>
      <c r="M5">
        <f t="array" ref="M5">MMULT('11_D'!$B$5:$M$5,'13_Bn'!$M$3:$M$14)</f>
        <v>8.4087710435141686E-3</v>
      </c>
    </row>
    <row r="6" spans="1:13" x14ac:dyDescent="0.25">
      <c r="A6" t="s">
        <v>72</v>
      </c>
      <c r="B6">
        <f t="array" ref="B6">MMULT('11_D'!$B$6:$M$6,'13_Bn'!$B$3:$B$14)</f>
        <v>1.8044665613118634E-2</v>
      </c>
      <c r="C6">
        <f t="array" ref="C6">MMULT('11_D'!$B$6:$M$6,'13_Bn'!$C$3:$C$14)</f>
        <v>3.3344969940364448E-2</v>
      </c>
      <c r="D6">
        <f t="array" ref="D6">MMULT('11_D'!$B$6:$M$6,'13_Bn'!$D$3:$D$14)</f>
        <v>1.4946273207834936E-2</v>
      </c>
      <c r="E6">
        <f t="array" ref="E6">MMULT('11_D'!$B$6:$M$6,'13_Bn'!$E$3:$E$14)</f>
        <v>0.32090347416154646</v>
      </c>
      <c r="F6">
        <f t="array" ref="F6">MMULT('11_D'!$B$6:$M$6,'13_Bn'!$F$3:$F$14)</f>
        <v>1.7410359213031834E-3</v>
      </c>
      <c r="G6">
        <f t="array" ref="G6">MMULT('11_D'!$B$6:$M$6,'13_Bn'!$G$3:$G$14)</f>
        <v>2.3247968892512298E-2</v>
      </c>
      <c r="H6">
        <f t="array" ref="H6">MMULT('11_D'!$B$6:$M$6,'13_Bn'!$H$3:$H$14)</f>
        <v>8.9431044342794929E-3</v>
      </c>
      <c r="I6">
        <f t="array" ref="I6">MMULT('11_D'!$B$6:$M$6,'13_Bn'!$I$3:$I$14)</f>
        <v>1.3175918006663142E-2</v>
      </c>
      <c r="J6">
        <f t="array" ref="J6">MMULT('11_D'!$B$6:$M$6,'13_Bn'!$J$3:$J$14)</f>
        <v>5.0093769469170997E-3</v>
      </c>
      <c r="K6">
        <f t="array" ref="K6">MMULT('11_D'!$B$6:$M$6,'13_Bn'!$K$3:$K$14)</f>
        <v>1.6068620693170238E-3</v>
      </c>
      <c r="L6">
        <f t="array" ref="L6">MMULT('11_D'!$B$6:$M$6,'13_Bn'!$L$3:$L$14)</f>
        <v>2.0387182006364187E-2</v>
      </c>
      <c r="M6">
        <f t="array" ref="M6">MMULT('11_D'!$B$6:$M$6,'13_Bn'!$M$3:$M$14)</f>
        <v>1.7276612552943119E-2</v>
      </c>
    </row>
    <row r="7" spans="1:13" x14ac:dyDescent="0.25">
      <c r="A7" t="s">
        <v>73</v>
      </c>
      <c r="B7">
        <f t="array" ref="B7">MMULT('11_D'!$B$7:$M$7,'13_Bn'!$B$3:$B$14)</f>
        <v>4.6976326396335686E-4</v>
      </c>
      <c r="C7">
        <f t="array" ref="C7">MMULT('11_D'!$B$7:$M$7,'13_Bn'!$C$3:$C$14)</f>
        <v>7.63577533001981E-5</v>
      </c>
      <c r="D7">
        <f t="array" ref="D7">MMULT('11_D'!$B$7:$M$7,'13_Bn'!$D$3:$D$14)</f>
        <v>2.7419626618092598E-4</v>
      </c>
      <c r="E7">
        <f t="array" ref="E7">MMULT('11_D'!$B$7:$M$7,'13_Bn'!$E$3:$E$14)</f>
        <v>1.8019868825151681E-2</v>
      </c>
      <c r="F7">
        <f t="array" ref="F7">MMULT('11_D'!$B$7:$M$7,'13_Bn'!$F$3:$F$14)</f>
        <v>0.11516989343870433</v>
      </c>
      <c r="G7">
        <f t="array" ref="G7">MMULT('11_D'!$B$7:$M$7,'13_Bn'!$G$3:$G$14)</f>
        <v>1.1012218117266682E-3</v>
      </c>
      <c r="H7">
        <f t="array" ref="H7">MMULT('11_D'!$B$7:$M$7,'13_Bn'!$H$3:$H$14)</f>
        <v>2.9637038109366362E-3</v>
      </c>
      <c r="I7">
        <f t="array" ref="I7">MMULT('11_D'!$B$7:$M$7,'13_Bn'!$I$3:$I$14)</f>
        <v>2.1337797992084889E-2</v>
      </c>
      <c r="J7">
        <f t="array" ref="J7">MMULT('11_D'!$B$7:$M$7,'13_Bn'!$J$3:$J$14)</f>
        <v>1.9812843748960507E-3</v>
      </c>
      <c r="K7">
        <f t="array" ref="K7">MMULT('11_D'!$B$7:$M$7,'13_Bn'!$K$3:$K$14)</f>
        <v>2.4422520125281606E-3</v>
      </c>
      <c r="L7">
        <f t="array" ref="L7">MMULT('11_D'!$B$7:$M$7,'13_Bn'!$L$3:$L$14)</f>
        <v>2.4638438453888885E-3</v>
      </c>
      <c r="M7">
        <f t="array" ref="M7">MMULT('11_D'!$B$7:$M$7,'13_Bn'!$M$3:$M$14)</f>
        <v>1.7236046054205242E-2</v>
      </c>
    </row>
    <row r="8" spans="1:13" x14ac:dyDescent="0.25">
      <c r="A8" t="s">
        <v>74</v>
      </c>
      <c r="B8">
        <f t="array" ref="B8">MMULT('11_D'!$B$8:$M$8,'13_Bn'!$B$3:$B$14)</f>
        <v>6.9864205745571201E-2</v>
      </c>
      <c r="C8">
        <f t="array" ref="C8">MMULT('11_D'!$B$8:$M$8,'13_Bn'!$C$3:$C$14)</f>
        <v>6.3497161938703847E-2</v>
      </c>
      <c r="D8">
        <f t="array" ref="D8">MMULT('11_D'!$B$8:$M$8,'13_Bn'!$D$3:$D$14)</f>
        <v>0.10216930408764643</v>
      </c>
      <c r="E8">
        <f t="array" ref="E8">MMULT('11_D'!$B$8:$M$8,'13_Bn'!$E$3:$E$14)</f>
        <v>1.9844795193361076E-2</v>
      </c>
      <c r="F8">
        <f t="array" ref="F8">MMULT('11_D'!$B$8:$M$8,'13_Bn'!$F$3:$F$14)</f>
        <v>7.8115506062384363E-2</v>
      </c>
      <c r="G8">
        <f t="array" ref="G8">MMULT('11_D'!$B$8:$M$8,'13_Bn'!$G$3:$G$14)</f>
        <v>1.2250202116497057E-2</v>
      </c>
      <c r="H8">
        <f t="array" ref="H8">MMULT('11_D'!$B$8:$M$8,'13_Bn'!$H$3:$H$14)</f>
        <v>3.9584397505093967E-2</v>
      </c>
      <c r="I8">
        <f t="array" ref="I8">MMULT('11_D'!$B$8:$M$8,'13_Bn'!$I$3:$I$14)</f>
        <v>-4.7471340043103855E-3</v>
      </c>
      <c r="J8">
        <f t="array" ref="J8">MMULT('11_D'!$B$8:$M$8,'13_Bn'!$J$3:$J$14)</f>
        <v>5.1368554555924345E-3</v>
      </c>
      <c r="K8">
        <f t="array" ref="K8">MMULT('11_D'!$B$8:$M$8,'13_Bn'!$K$3:$K$14)</f>
        <v>3.1200330141205818E-3</v>
      </c>
      <c r="L8">
        <f t="array" ref="L8">MMULT('11_D'!$B$8:$M$8,'13_Bn'!$L$3:$L$14)</f>
        <v>2.8121185626379511E-2</v>
      </c>
      <c r="M8">
        <f t="array" ref="M8">MMULT('11_D'!$B$8:$M$8,'13_Bn'!$M$3:$M$14)</f>
        <v>8.426473888979014E-3</v>
      </c>
    </row>
    <row r="9" spans="1:13" x14ac:dyDescent="0.25">
      <c r="A9" t="s">
        <v>75</v>
      </c>
      <c r="B9">
        <f t="array" ref="B9">MMULT('11_D'!$B$9:$M$9,'13_Bn'!$B$3:$B$14)</f>
        <v>1.3409640037139002E-2</v>
      </c>
      <c r="C9">
        <f t="array" ref="C9">MMULT('11_D'!$B$9:$M$9,'13_Bn'!$C$3:$C$14)</f>
        <v>2.5767529002791032E-2</v>
      </c>
      <c r="D9">
        <f t="array" ref="D9">MMULT('11_D'!$B$9:$M$9,'13_Bn'!$D$3:$D$14)</f>
        <v>4.2464982168632252E-2</v>
      </c>
      <c r="E9">
        <f t="array" ref="E9">MMULT('11_D'!$B$9:$M$9,'13_Bn'!$E$3:$E$14)</f>
        <v>5.1229754185833564E-3</v>
      </c>
      <c r="F9">
        <f t="array" ref="F9">MMULT('11_D'!$B$9:$M$9,'13_Bn'!$F$3:$F$14)</f>
        <v>9.6986198762271172E-3</v>
      </c>
      <c r="G9">
        <f t="array" ref="G9">MMULT('11_D'!$B$9:$M$9,'13_Bn'!$G$3:$G$14)</f>
        <v>3.3749335186441652E-2</v>
      </c>
      <c r="H9">
        <f t="array" ref="H9">MMULT('11_D'!$B$9:$M$9,'13_Bn'!$H$3:$H$14)</f>
        <v>8.0520233936898389E-2</v>
      </c>
      <c r="I9">
        <f t="array" ref="I9">MMULT('11_D'!$B$9:$M$9,'13_Bn'!$I$3:$I$14)</f>
        <v>6.6339173882429686E-3</v>
      </c>
      <c r="J9">
        <f t="array" ref="J9">MMULT('11_D'!$B$9:$M$9,'13_Bn'!$J$3:$J$14)</f>
        <v>8.7720412565026138E-3</v>
      </c>
      <c r="K9">
        <f t="array" ref="K9">MMULT('11_D'!$B$9:$M$9,'13_Bn'!$K$3:$K$14)</f>
        <v>6.6732060243051216E-4</v>
      </c>
      <c r="L9">
        <f t="array" ref="L9">MMULT('11_D'!$B$9:$M$9,'13_Bn'!$L$3:$L$14)</f>
        <v>1.1184921857068913E-2</v>
      </c>
      <c r="M9">
        <f t="array" ref="M9">MMULT('11_D'!$B$9:$M$9,'13_Bn'!$M$3:$M$14)</f>
        <v>7.9558650824633915E-3</v>
      </c>
    </row>
    <row r="10" spans="1:13" x14ac:dyDescent="0.25">
      <c r="A10" t="s">
        <v>76</v>
      </c>
      <c r="B10">
        <f t="array" ref="B10">MMULT('11_D'!$B$10:$M$10,'13_Bn'!$B$3:$B$14)</f>
        <v>5.4004743074137093E-5</v>
      </c>
      <c r="C10">
        <f t="array" ref="C10">MMULT('11_D'!$B$10:$M$10,'13_Bn'!$C$3:$C$14)</f>
        <v>7.2387137716555569E-4</v>
      </c>
      <c r="D10">
        <f t="array" ref="D10">MMULT('11_D'!$B$10:$M$10,'13_Bn'!$D$3:$D$14)</f>
        <v>3.9847431193430517E-3</v>
      </c>
      <c r="E10">
        <f t="array" ref="E10">MMULT('11_D'!$B$10:$M$10,'13_Bn'!$E$3:$E$14)</f>
        <v>6.689709834821261E-3</v>
      </c>
      <c r="F10">
        <f t="array" ref="F10">MMULT('11_D'!$B$10:$M$10,'13_Bn'!$F$3:$F$14)</f>
        <v>1.952444658427688E-3</v>
      </c>
      <c r="G10">
        <f t="array" ref="G10">MMULT('11_D'!$B$10:$M$10,'13_Bn'!$G$3:$G$14)</f>
        <v>1.0313802275121227E-2</v>
      </c>
      <c r="H10">
        <f t="array" ref="H10">MMULT('11_D'!$B$10:$M$10,'13_Bn'!$H$3:$H$14)</f>
        <v>7.9712715022881367E-3</v>
      </c>
      <c r="I10">
        <f t="array" ref="I10">MMULT('11_D'!$B$10:$M$10,'13_Bn'!$I$3:$I$14)</f>
        <v>0.11693779788887819</v>
      </c>
      <c r="J10">
        <f t="array" ref="J10">MMULT('11_D'!$B$10:$M$10,'13_Bn'!$J$3:$J$14)</f>
        <v>2.9848106454797695E-2</v>
      </c>
      <c r="K10">
        <f t="array" ref="K10">MMULT('11_D'!$B$10:$M$10,'13_Bn'!$K$3:$K$14)</f>
        <v>9.8815747273891239E-4</v>
      </c>
      <c r="L10">
        <f t="array" ref="L10">MMULT('11_D'!$B$10:$M$10,'13_Bn'!$L$3:$L$14)</f>
        <v>1.4267958154777291E-2</v>
      </c>
      <c r="M10">
        <f t="array" ref="M10">MMULT('11_D'!$B$10:$M$10,'13_Bn'!$M$3:$M$14)</f>
        <v>1.3523655029261747E-2</v>
      </c>
    </row>
    <row r="11" spans="1:13" x14ac:dyDescent="0.25">
      <c r="A11" t="s">
        <v>77</v>
      </c>
      <c r="B11">
        <f t="array" ref="B11">MMULT('11_D'!$B$11:$M$11,'13_Bn'!$B$3:$B$14)</f>
        <v>6.4471928262906236E-3</v>
      </c>
      <c r="C11">
        <f t="array" ref="C11">MMULT('11_D'!$B$11:$M$11,'13_Bn'!$C$3:$C$14)</f>
        <v>1.3110891735051254E-2</v>
      </c>
      <c r="D11">
        <f t="array" ref="D11">MMULT('11_D'!$B$11:$M$11,'13_Bn'!$D$3:$D$14)</f>
        <v>8.5065249042149699E-3</v>
      </c>
      <c r="E11">
        <f t="array" ref="E11">MMULT('11_D'!$B$11:$M$11,'13_Bn'!$E$3:$E$14)</f>
        <v>1.2121177887069672E-2</v>
      </c>
      <c r="F11">
        <f t="array" ref="F11">MMULT('11_D'!$B$11:$M$11,'13_Bn'!$F$3:$F$14)</f>
        <v>6.4154581378991025E-3</v>
      </c>
      <c r="G11">
        <f t="array" ref="G11">MMULT('11_D'!$B$11:$M$11,'13_Bn'!$G$3:$G$14)</f>
        <v>9.7263602408397022E-3</v>
      </c>
      <c r="H11">
        <f t="array" ref="H11">MMULT('11_D'!$B$11:$M$11,'13_Bn'!$H$3:$H$14)</f>
        <v>1.0290208403079521E-2</v>
      </c>
      <c r="I11">
        <f t="array" ref="I11">MMULT('11_D'!$B$11:$M$11,'13_Bn'!$I$3:$I$14)</f>
        <v>1.7490327439660981E-2</v>
      </c>
      <c r="J11">
        <f t="array" ref="J11">MMULT('11_D'!$B$11:$M$11,'13_Bn'!$J$3:$J$14)</f>
        <v>5.8833750076212131E-2</v>
      </c>
      <c r="K11">
        <f t="array" ref="K11">MMULT('11_D'!$B$11:$M$11,'13_Bn'!$K$3:$K$14)</f>
        <v>1.4331546868036196E-2</v>
      </c>
      <c r="L11">
        <f t="array" ref="L11">MMULT('11_D'!$B$11:$M$11,'13_Bn'!$L$3:$L$14)</f>
        <v>6.1317635000023001E-3</v>
      </c>
      <c r="M11">
        <f t="array" ref="M11">MMULT('11_D'!$B$11:$M$11,'13_Bn'!$M$3:$M$14)</f>
        <v>1.2925831577021705E-2</v>
      </c>
    </row>
    <row r="12" spans="1:13" x14ac:dyDescent="0.25">
      <c r="A12" t="s">
        <v>78</v>
      </c>
      <c r="B12">
        <f t="array" ref="B12">MMULT('11_D'!$B$12:$M$12,'13_Bn'!$B$3:$B$14)</f>
        <v>2.7862595832929923E-5</v>
      </c>
      <c r="C12">
        <f t="array" ref="C12">MMULT('11_D'!$B$12:$M$12,'13_Bn'!$C$3:$C$14)</f>
        <v>1.96200725393492E-3</v>
      </c>
      <c r="D12">
        <f t="array" ref="D12">MMULT('11_D'!$B$12:$M$12,'13_Bn'!$D$3:$D$14)</f>
        <v>2.408103505226225E-3</v>
      </c>
      <c r="E12">
        <f t="array" ref="E12">MMULT('11_D'!$B$12:$M$12,'13_Bn'!$E$3:$E$14)</f>
        <v>5.1227435805347677E-3</v>
      </c>
      <c r="F12">
        <f t="array" ref="F12">MMULT('11_D'!$B$12:$M$12,'13_Bn'!$F$3:$F$14)</f>
        <v>2.14319718872103E-3</v>
      </c>
      <c r="G12">
        <f t="array" ref="G12">MMULT('11_D'!$B$12:$M$12,'13_Bn'!$G$3:$G$14)</f>
        <v>3.3528937023713401E-2</v>
      </c>
      <c r="H12">
        <f t="array" ref="H12">MMULT('11_D'!$B$12:$M$12,'13_Bn'!$H$3:$H$14)</f>
        <v>1.5353470689277249E-2</v>
      </c>
      <c r="I12">
        <f t="array" ref="I12">MMULT('11_D'!$B$12:$M$12,'13_Bn'!$I$3:$I$14)</f>
        <v>1.5337467220129034E-2</v>
      </c>
      <c r="J12">
        <f t="array" ref="J12">MMULT('11_D'!$B$12:$M$12,'13_Bn'!$J$3:$J$14)</f>
        <v>8.6973068509020347E-3</v>
      </c>
      <c r="K12">
        <f t="array" ref="K12">MMULT('11_D'!$B$12:$M$12,'13_Bn'!$K$3:$K$14)</f>
        <v>2.8188022768920627E-3</v>
      </c>
      <c r="L12">
        <f t="array" ref="L12">MMULT('11_D'!$B$12:$M$12,'13_Bn'!$L$3:$L$14)</f>
        <v>1.7907036876845348E-2</v>
      </c>
      <c r="M12">
        <f t="array" ref="M12">MMULT('11_D'!$B$12:$M$12,'13_Bn'!$M$3:$M$14)</f>
        <v>2.4132432512557452E-3</v>
      </c>
    </row>
    <row r="13" spans="1:13" x14ac:dyDescent="0.25">
      <c r="A13" t="s">
        <v>79</v>
      </c>
      <c r="B13">
        <f t="array" ref="B13">MMULT('11_D'!$B$13:$M$13,'13_Bn'!$B$3:$B$14)</f>
        <v>3.5323530666076059E-3</v>
      </c>
      <c r="C13">
        <f t="array" ref="C13">MMULT('11_D'!$B$13:$M$13,'13_Bn'!$C$3:$C$14)</f>
        <v>3.644619042423014E-2</v>
      </c>
      <c r="D13">
        <f t="array" ref="D13">MMULT('11_D'!$B$13:$M$13,'13_Bn'!$D$3:$D$14)</f>
        <v>3.4563079024281664E-2</v>
      </c>
      <c r="E13">
        <f t="array" ref="E13">MMULT('11_D'!$B$13:$M$13,'13_Bn'!$E$3:$E$14)</f>
        <v>4.270183361474935E-2</v>
      </c>
      <c r="F13">
        <f t="array" ref="F13">MMULT('11_D'!$B$13:$M$13,'13_Bn'!$F$3:$F$14)</f>
        <v>1.9303555185813972E-2</v>
      </c>
      <c r="G13">
        <f t="array" ref="G13">MMULT('11_D'!$B$13:$M$13,'13_Bn'!$G$3:$G$14)</f>
        <v>6.147627490053538E-2</v>
      </c>
      <c r="H13">
        <f t="array" ref="H13">MMULT('11_D'!$B$13:$M$13,'13_Bn'!$H$3:$H$14)</f>
        <v>4.2587936326850956E-2</v>
      </c>
      <c r="I13">
        <f t="array" ref="I13">MMULT('11_D'!$B$13:$M$13,'13_Bn'!$I$3:$I$14)</f>
        <v>0.13876403262333931</v>
      </c>
      <c r="J13">
        <f t="array" ref="J13">MMULT('11_D'!$B$13:$M$13,'13_Bn'!$J$3:$J$14)</f>
        <v>6.7925801009077455E-2</v>
      </c>
      <c r="K13">
        <f t="array" ref="K13">MMULT('11_D'!$B$13:$M$13,'13_Bn'!$K$3:$K$14)</f>
        <v>5.2952637664661299E-3</v>
      </c>
      <c r="L13">
        <f t="array" ref="L13">MMULT('11_D'!$B$13:$M$13,'13_Bn'!$L$3:$L$14)</f>
        <v>5.7863106521997172E-2</v>
      </c>
      <c r="M13">
        <f t="array" ref="M13">MMULT('11_D'!$B$13:$M$13,'13_Bn'!$M$3:$M$14)</f>
        <v>4.9454421380387095E-2</v>
      </c>
    </row>
    <row r="14" spans="1:13" x14ac:dyDescent="0.25">
      <c r="A14" t="s">
        <v>80</v>
      </c>
      <c r="B14">
        <f t="array" ref="B14">MMULT('11_D'!$B$14:$M$14,'13_Bn'!$B$3:$B$14)</f>
        <v>3.1724988310725992E-4</v>
      </c>
      <c r="C14">
        <f t="array" ref="C14">MMULT('11_D'!$B$14:$M$14,'13_Bn'!$C$3:$C$14)</f>
        <v>1.3899256477756831E-3</v>
      </c>
      <c r="D14">
        <f t="array" ref="D14">MMULT('11_D'!$B$14:$M$14,'13_Bn'!$D$3:$D$14)</f>
        <v>1.6458622348314769E-3</v>
      </c>
      <c r="E14">
        <f t="array" ref="E14">MMULT('11_D'!$B$14:$M$14,'13_Bn'!$E$3:$E$14)</f>
        <v>1.952666724295413E-3</v>
      </c>
      <c r="F14">
        <f t="array" ref="F14">MMULT('11_D'!$B$14:$M$14,'13_Bn'!$F$3:$F$14)</f>
        <v>6.9902044162318362E-4</v>
      </c>
      <c r="G14">
        <f t="array" ref="G14">MMULT('11_D'!$B$14:$M$14,'13_Bn'!$G$3:$G$14)</f>
        <v>2.2358265810557853E-3</v>
      </c>
      <c r="H14">
        <f t="array" ref="H14">MMULT('11_D'!$B$14:$M$14,'13_Bn'!$H$3:$H$14)</f>
        <v>1.982912174150097E-3</v>
      </c>
      <c r="I14">
        <f t="array" ref="I14">MMULT('11_D'!$B$14:$M$14,'13_Bn'!$I$3:$I$14)</f>
        <v>4.4816533047327307E-3</v>
      </c>
      <c r="J14">
        <f t="array" ref="J14">MMULT('11_D'!$B$14:$M$14,'13_Bn'!$J$3:$J$14)</f>
        <v>2.1891124701581468E-3</v>
      </c>
      <c r="K14">
        <f t="array" ref="K14">MMULT('11_D'!$B$14:$M$14,'13_Bn'!$K$3:$K$14)</f>
        <v>1.7457313980038375E-4</v>
      </c>
      <c r="L14">
        <f t="array" ref="L14">MMULT('11_D'!$B$14:$M$14,'13_Bn'!$L$3:$L$14)</f>
        <v>1.9355910861917072E-3</v>
      </c>
      <c r="M14">
        <f t="array" ref="M14">MMULT('11_D'!$B$14:$M$14,'13_Bn'!$M$3:$M$14)</f>
        <v>1.6148584727872801E-3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4"/>
  <sheetViews>
    <sheetView workbookViewId="0"/>
  </sheetViews>
  <sheetFormatPr defaultColWidth="11.42578125" defaultRowHeight="15" x14ac:dyDescent="0.25"/>
  <cols>
    <col min="1" max="1" width="44.7109375" customWidth="1"/>
    <col min="2" max="14" width="16.7109375" customWidth="1"/>
  </cols>
  <sheetData>
    <row r="1" spans="1:14" ht="15.75" x14ac:dyDescent="0.25">
      <c r="A1" s="1" t="s">
        <v>168</v>
      </c>
    </row>
    <row r="2" spans="1:14" ht="90" x14ac:dyDescent="0.25">
      <c r="A2" s="2" t="s">
        <v>167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145</v>
      </c>
    </row>
    <row r="3" spans="1:14" x14ac:dyDescent="0.25">
      <c r="A3" t="s">
        <v>69</v>
      </c>
      <c r="B3">
        <f>'14_A'!$B$3*'12_X'!$B$2</f>
        <v>260.29191286379182</v>
      </c>
      <c r="C3">
        <f>'14_A'!$C$3*'12_X'!$B$3</f>
        <v>0.28323142867751072</v>
      </c>
      <c r="D3">
        <f>'14_A'!$D$3*'12_X'!$B$4</f>
        <v>1199.7568844653356</v>
      </c>
      <c r="E3">
        <f>'14_A'!$E$3*'12_X'!$B$5</f>
        <v>2.9436703866660419</v>
      </c>
      <c r="F3">
        <f>'14_A'!$F$3*'12_X'!$B$6</f>
        <v>24.774086078464343</v>
      </c>
      <c r="G3">
        <f>'14_A'!$G$3*'12_X'!$B$7</f>
        <v>51.709724865297247</v>
      </c>
      <c r="H3">
        <f>'14_A'!$H$3*'12_X'!$B$8</f>
        <v>3.4061316822516918</v>
      </c>
      <c r="I3">
        <f>'14_A'!$I$3*'12_X'!$B$9</f>
        <v>0.68371867587538371</v>
      </c>
      <c r="J3">
        <f>'14_A'!$J$3*'12_X'!$B$10</f>
        <v>0.20324051586816272</v>
      </c>
      <c r="K3">
        <f>'14_A'!$K$3*'12_X'!$B$11</f>
        <v>0.37757537334673735</v>
      </c>
      <c r="L3">
        <f>'14_A'!$L$3*'12_X'!$B$12</f>
        <v>56.047826767618467</v>
      </c>
      <c r="M3">
        <f>'14_A'!$M$3*'12_X'!$B$13</f>
        <v>42.096146196282596</v>
      </c>
      <c r="N3">
        <f t="shared" ref="N3:N14" si="0">SUM(B3:M3)</f>
        <v>1642.5741492994755</v>
      </c>
    </row>
    <row r="4" spans="1:14" x14ac:dyDescent="0.25">
      <c r="A4" t="s">
        <v>70</v>
      </c>
      <c r="B4">
        <f>'14_A'!$B$4*'12_X'!$B$2</f>
        <v>4.4587913236159817</v>
      </c>
      <c r="C4">
        <f>'14_A'!$C$4*'12_X'!$B$3</f>
        <v>2.3695330448117438</v>
      </c>
      <c r="D4">
        <f>'14_A'!$D$4*'12_X'!$B$4</f>
        <v>71.372568834251055</v>
      </c>
      <c r="E4">
        <f>'14_A'!$E$4*'12_X'!$B$5</f>
        <v>1.9524495062596294</v>
      </c>
      <c r="F4">
        <f>'14_A'!$F$4*'12_X'!$B$6</f>
        <v>48.374951748234743</v>
      </c>
      <c r="G4">
        <f>'14_A'!$G$4*'12_X'!$B$7</f>
        <v>0.39549708618298612</v>
      </c>
      <c r="H4">
        <f>'14_A'!$H$4*'12_X'!$B$8</f>
        <v>9.4681502073224455E-2</v>
      </c>
      <c r="I4">
        <f>'14_A'!$I$4*'12_X'!$B$9</f>
        <v>9.1407772257393119E-3</v>
      </c>
      <c r="J4">
        <f>'14_A'!$J$4*'12_X'!$B$10</f>
        <v>5.6840032507447557E-3</v>
      </c>
      <c r="K4">
        <f>'14_A'!$K$4*'12_X'!$B$11</f>
        <v>2.8073134730934215</v>
      </c>
      <c r="L4">
        <f>'14_A'!$L$4*'12_X'!$B$12</f>
        <v>0.35170779876820529</v>
      </c>
      <c r="M4">
        <f>'14_A'!$M$4*'12_X'!$B$13</f>
        <v>1.0734055072735533</v>
      </c>
      <c r="N4">
        <f t="shared" si="0"/>
        <v>133.26572460504104</v>
      </c>
    </row>
    <row r="5" spans="1:14" x14ac:dyDescent="0.25">
      <c r="A5" t="s">
        <v>71</v>
      </c>
      <c r="B5">
        <f>'14_A'!$B$5*'12_X'!$B$2</f>
        <v>396.64551578780316</v>
      </c>
      <c r="C5">
        <f>'14_A'!$C$5*'12_X'!$B$3</f>
        <v>10.230581956800918</v>
      </c>
      <c r="D5">
        <f>'14_A'!$D$5*'12_X'!$B$4</f>
        <v>615.94843038701049</v>
      </c>
      <c r="E5">
        <f>'14_A'!$E$5*'12_X'!$B$5</f>
        <v>71.266085570392178</v>
      </c>
      <c r="F5">
        <f>'14_A'!$F$5*'12_X'!$B$6</f>
        <v>345.39682623897988</v>
      </c>
      <c r="G5">
        <f>'14_A'!$G$5*'12_X'!$B$7</f>
        <v>159.18601970638701</v>
      </c>
      <c r="H5">
        <f>'14_A'!$H$5*'12_X'!$B$8</f>
        <v>130.83012337756577</v>
      </c>
      <c r="I5">
        <f>'14_A'!$I$5*'12_X'!$B$9</f>
        <v>10.688615440737948</v>
      </c>
      <c r="J5">
        <f>'14_A'!$J$5*'12_X'!$B$10</f>
        <v>5.702449577226079</v>
      </c>
      <c r="K5">
        <f>'14_A'!$K$5*'12_X'!$B$11</f>
        <v>9.2568079568197241</v>
      </c>
      <c r="L5">
        <f>'14_A'!$L$5*'12_X'!$B$12</f>
        <v>209.20768370317762</v>
      </c>
      <c r="M5">
        <f>'14_A'!$M$5*'12_X'!$B$13</f>
        <v>165.25224010771262</v>
      </c>
      <c r="N5">
        <f t="shared" si="0"/>
        <v>2129.6113798106135</v>
      </c>
    </row>
    <row r="6" spans="1:14" x14ac:dyDescent="0.25">
      <c r="A6" t="s">
        <v>72</v>
      </c>
      <c r="B6">
        <f>'14_A'!$B$6*'12_X'!$B$2</f>
        <v>137.29793473425812</v>
      </c>
      <c r="C6">
        <f>'14_A'!$C$6*'12_X'!$B$3</f>
        <v>7.0128464932901808</v>
      </c>
      <c r="D6">
        <f>'14_A'!$D$6*'12_X'!$B$4</f>
        <v>121.74644619522444</v>
      </c>
      <c r="E6">
        <f>'14_A'!$E$6*'12_X'!$B$5</f>
        <v>1313.1300178245926</v>
      </c>
      <c r="F6">
        <f>'14_A'!$F$6*'12_X'!$B$6</f>
        <v>9.9362515447729614</v>
      </c>
      <c r="G6">
        <f>'14_A'!$G$6*'12_X'!$B$7</f>
        <v>231.3643626516405</v>
      </c>
      <c r="H6">
        <f>'14_A'!$H$6*'12_X'!$B$8</f>
        <v>23.731018095278039</v>
      </c>
      <c r="I6">
        <f>'14_A'!$I$6*'12_X'!$B$9</f>
        <v>19.602486508776778</v>
      </c>
      <c r="J6">
        <f>'14_A'!$J$6*'12_X'!$B$10</f>
        <v>11.763018974204005</v>
      </c>
      <c r="K6">
        <f>'14_A'!$K$6*'12_X'!$B$11</f>
        <v>6.4736196044597047</v>
      </c>
      <c r="L6">
        <f>'14_A'!$L$6*'12_X'!$B$12</f>
        <v>194.67606230186578</v>
      </c>
      <c r="M6">
        <f>'14_A'!$M$6*'12_X'!$B$13</f>
        <v>339.52630070109814</v>
      </c>
      <c r="N6">
        <f t="shared" si="0"/>
        <v>2416.2603656294609</v>
      </c>
    </row>
    <row r="7" spans="1:14" x14ac:dyDescent="0.25">
      <c r="A7" t="s">
        <v>73</v>
      </c>
      <c r="B7">
        <f>'14_A'!$B$7*'12_X'!$B$2</f>
        <v>3.5743264707162408</v>
      </c>
      <c r="C7">
        <f>'14_A'!$C$7*'12_X'!$B$3</f>
        <v>1.6058949923316631E-2</v>
      </c>
      <c r="D7">
        <f>'14_A'!$D$7*'12_X'!$B$4</f>
        <v>2.2334946312923178</v>
      </c>
      <c r="E7">
        <f>'14_A'!$E$7*'12_X'!$B$5</f>
        <v>73.736910245029975</v>
      </c>
      <c r="F7">
        <f>'14_A'!$F$7*'12_X'!$B$6</f>
        <v>657.28513558473855</v>
      </c>
      <c r="G7">
        <f>'14_A'!$G$7*'12_X'!$B$7</f>
        <v>10.959386765623472</v>
      </c>
      <c r="H7">
        <f>'14_A'!$H$7*'12_X'!$B$8</f>
        <v>7.8643506047850504</v>
      </c>
      <c r="I7">
        <f>'14_A'!$I$7*'12_X'!$B$9</f>
        <v>31.745332435684908</v>
      </c>
      <c r="J7">
        <f>'14_A'!$J$7*'12_X'!$B$10</f>
        <v>4.6524519799890909</v>
      </c>
      <c r="K7">
        <f>'14_A'!$K$7*'12_X'!$B$11</f>
        <v>9.8391833432557139</v>
      </c>
      <c r="L7">
        <f>'14_A'!$L$7*'12_X'!$B$12</f>
        <v>23.527107267559828</v>
      </c>
      <c r="M7">
        <f>'14_A'!$M$7*'12_X'!$B$13</f>
        <v>338.72907304974814</v>
      </c>
      <c r="N7">
        <f t="shared" si="0"/>
        <v>1164.1628113283466</v>
      </c>
    </row>
    <row r="8" spans="1:14" x14ac:dyDescent="0.25">
      <c r="A8" t="s">
        <v>74</v>
      </c>
      <c r="B8">
        <f>'14_A'!$B$8*'12_X'!$B$2</f>
        <v>531.5815414026066</v>
      </c>
      <c r="C8">
        <f>'14_A'!$C$8*'12_X'!$B$3</f>
        <v>13.354213551012458</v>
      </c>
      <c r="D8">
        <f>'14_A'!$D$8*'12_X'!$B$4</f>
        <v>832.23085179452596</v>
      </c>
      <c r="E8">
        <f>'14_A'!$E$8*'12_X'!$B$5</f>
        <v>81.204469144716469</v>
      </c>
      <c r="F8">
        <f>'14_A'!$F$8*'12_X'!$B$6</f>
        <v>445.81235130525789</v>
      </c>
      <c r="G8">
        <f>'14_A'!$G$8*'12_X'!$B$7</f>
        <v>121.91431510173679</v>
      </c>
      <c r="H8">
        <f>'14_A'!$H$8*'12_X'!$B$8</f>
        <v>105.03936976106053</v>
      </c>
      <c r="I8">
        <f>'14_A'!$I$8*'12_X'!$B$9</f>
        <v>-7.0625538370678242</v>
      </c>
      <c r="J8">
        <f>'14_A'!$J$8*'12_X'!$B$10</f>
        <v>12.062364008974058</v>
      </c>
      <c r="K8">
        <f>'14_A'!$K$8*'12_X'!$B$11</f>
        <v>12.569782604525205</v>
      </c>
      <c r="L8">
        <f>'14_A'!$L$8*'12_X'!$B$12</f>
        <v>268.52763090526344</v>
      </c>
      <c r="M8">
        <f>'14_A'!$M$8*'12_X'!$B$13</f>
        <v>165.60014289329303</v>
      </c>
      <c r="N8">
        <f t="shared" si="0"/>
        <v>2582.8344786359048</v>
      </c>
    </row>
    <row r="9" spans="1:14" x14ac:dyDescent="0.25">
      <c r="A9" t="s">
        <v>75</v>
      </c>
      <c r="B9">
        <f>'14_A'!$B$9*'12_X'!$B$2</f>
        <v>102.03103355323456</v>
      </c>
      <c r="C9">
        <f>'14_A'!$C$9*'12_X'!$B$3</f>
        <v>5.4192199222597681</v>
      </c>
      <c r="D9">
        <f>'14_A'!$D$9*'12_X'!$B$4</f>
        <v>345.90299500643567</v>
      </c>
      <c r="E9">
        <f>'14_A'!$E$9*'12_X'!$B$5</f>
        <v>20.963103688097803</v>
      </c>
      <c r="F9">
        <f>'14_A'!$F$9*'12_X'!$B$6</f>
        <v>55.350912378186337</v>
      </c>
      <c r="G9">
        <f>'14_A'!$G$9*'12_X'!$B$7</f>
        <v>335.87422029984668</v>
      </c>
      <c r="H9">
        <f>'14_A'!$H$9*'12_X'!$B$8</f>
        <v>213.6648568329621</v>
      </c>
      <c r="I9">
        <f>'14_A'!$I$9*'12_X'!$B$9</f>
        <v>9.8696178920975228</v>
      </c>
      <c r="J9">
        <f>'14_A'!$J$9*'12_X'!$B$10</f>
        <v>20.598507326593527</v>
      </c>
      <c r="K9">
        <f>'14_A'!$K$9*'12_X'!$B$11</f>
        <v>2.6884570971235733</v>
      </c>
      <c r="L9">
        <f>'14_A'!$L$9*'12_X'!$B$12</f>
        <v>106.80419410630297</v>
      </c>
      <c r="M9">
        <f>'14_A'!$M$9*'12_X'!$B$13</f>
        <v>156.35156672340094</v>
      </c>
      <c r="N9">
        <f t="shared" si="0"/>
        <v>1375.5186848265414</v>
      </c>
    </row>
    <row r="10" spans="1:14" x14ac:dyDescent="0.25">
      <c r="A10" t="s">
        <v>76</v>
      </c>
      <c r="B10">
        <f>'14_A'!$B$10*'12_X'!$B$2</f>
        <v>0.41091034042452251</v>
      </c>
      <c r="C10">
        <f>'14_A'!$C$10*'12_X'!$B$3</f>
        <v>0.15223881916905149</v>
      </c>
      <c r="D10">
        <f>'14_A'!$D$10*'12_X'!$B$4</f>
        <v>32.458145722010627</v>
      </c>
      <c r="E10">
        <f>'14_A'!$E$10*'12_X'!$B$5</f>
        <v>27.374146751113074</v>
      </c>
      <c r="F10">
        <f>'14_A'!$F$10*'12_X'!$B$6</f>
        <v>11.142780580233373</v>
      </c>
      <c r="G10">
        <f>'14_A'!$G$10*'12_X'!$B$7</f>
        <v>102.64321588399166</v>
      </c>
      <c r="H10">
        <f>'14_A'!$H$10*'12_X'!$B$8</f>
        <v>21.152206110675284</v>
      </c>
      <c r="I10">
        <f>'14_A'!$I$10*'12_X'!$B$9</f>
        <v>173.9743374483345</v>
      </c>
      <c r="J10">
        <f>'14_A'!$J$10*'12_X'!$B$10</f>
        <v>70.089323740734812</v>
      </c>
      <c r="K10">
        <f>'14_A'!$K$10*'12_X'!$B$11</f>
        <v>3.9810234555694772</v>
      </c>
      <c r="L10">
        <f>'14_A'!$L$10*'12_X'!$B$12</f>
        <v>136.24393551755981</v>
      </c>
      <c r="M10">
        <f>'14_A'!$M$10*'12_X'!$B$13</f>
        <v>265.77180856329636</v>
      </c>
      <c r="N10">
        <f t="shared" si="0"/>
        <v>845.39407293311251</v>
      </c>
    </row>
    <row r="11" spans="1:14" x14ac:dyDescent="0.25">
      <c r="A11" t="s">
        <v>77</v>
      </c>
      <c r="B11">
        <f>'14_A'!$B$11*'12_X'!$B$2</f>
        <v>49.055287521631257</v>
      </c>
      <c r="C11">
        <f>'14_A'!$C$11*'12_X'!$B$3</f>
        <v>2.7573775382763617</v>
      </c>
      <c r="D11">
        <f>'14_A'!$D$11*'12_X'!$B$4</f>
        <v>69.290796585763971</v>
      </c>
      <c r="E11">
        <f>'14_A'!$E$11*'12_X'!$B$5</f>
        <v>49.599595568386455</v>
      </c>
      <c r="F11">
        <f>'14_A'!$F$11*'12_X'!$B$6</f>
        <v>36.613607481120766</v>
      </c>
      <c r="G11">
        <f>'14_A'!$G$11*'12_X'!$B$7</f>
        <v>96.796978198251168</v>
      </c>
      <c r="H11">
        <f>'14_A'!$H$11*'12_X'!$B$8</f>
        <v>27.30563235755573</v>
      </c>
      <c r="I11">
        <f>'14_A'!$I$11*'12_X'!$B$9</f>
        <v>26.021253888849291</v>
      </c>
      <c r="J11">
        <f>'14_A'!$J$11*'12_X'!$B$10</f>
        <v>138.15341225139244</v>
      </c>
      <c r="K11">
        <f>'14_A'!$K$11*'12_X'!$B$11</f>
        <v>57.737987932334391</v>
      </c>
      <c r="L11">
        <f>'14_A'!$L$11*'12_X'!$B$12</f>
        <v>58.551867186652835</v>
      </c>
      <c r="M11">
        <f>'14_A'!$M$11*'12_X'!$B$13</f>
        <v>254.02316370659136</v>
      </c>
      <c r="N11">
        <f t="shared" si="0"/>
        <v>865.90696021680606</v>
      </c>
    </row>
    <row r="12" spans="1:14" x14ac:dyDescent="0.25">
      <c r="A12" t="s">
        <v>78</v>
      </c>
      <c r="B12">
        <f>'14_A'!$B$12*'12_X'!$B$2</f>
        <v>0.21200042972342301</v>
      </c>
      <c r="C12">
        <f>'14_A'!$C$12*'12_X'!$B$3</f>
        <v>0.41263362105813967</v>
      </c>
      <c r="D12">
        <f>'14_A'!$D$12*'12_X'!$B$4</f>
        <v>19.615461309637379</v>
      </c>
      <c r="E12">
        <f>'14_A'!$E$12*'12_X'!$B$5</f>
        <v>20.962155011859036</v>
      </c>
      <c r="F12">
        <f>'14_A'!$F$12*'12_X'!$B$6</f>
        <v>12.231422750452278</v>
      </c>
      <c r="G12">
        <f>'14_A'!$G$12*'12_X'!$B$7</f>
        <v>333.68081232149899</v>
      </c>
      <c r="H12">
        <f>'14_A'!$H$12*'12_X'!$B$8</f>
        <v>40.741276525405326</v>
      </c>
      <c r="I12">
        <f>'14_A'!$I$12*'12_X'!$B$9</f>
        <v>22.818333728954876</v>
      </c>
      <c r="J12">
        <f>'14_A'!$J$12*'12_X'!$B$10</f>
        <v>20.423015994952674</v>
      </c>
      <c r="K12">
        <f>'14_A'!$K$12*'12_X'!$B$11</f>
        <v>11.35620413800677</v>
      </c>
      <c r="L12">
        <f>'14_A'!$L$12*'12_X'!$B$12</f>
        <v>170.99329498261798</v>
      </c>
      <c r="M12">
        <f>'14_A'!$M$12*'12_X'!$B$13</f>
        <v>47.425937884517396</v>
      </c>
      <c r="N12">
        <f t="shared" si="0"/>
        <v>700.87254869868434</v>
      </c>
    </row>
    <row r="13" spans="1:14" x14ac:dyDescent="0.25">
      <c r="A13" t="s">
        <v>79</v>
      </c>
      <c r="B13">
        <f>'14_A'!$B$13*'12_X'!$B$2</f>
        <v>26.876905961884898</v>
      </c>
      <c r="C13">
        <f>'14_A'!$C$13*'12_X'!$B$3</f>
        <v>7.6650702989824016</v>
      </c>
      <c r="D13">
        <f>'14_A'!$D$13*'12_X'!$B$4</f>
        <v>281.53720879163188</v>
      </c>
      <c r="E13">
        <f>'14_A'!$E$13*'12_X'!$B$5</f>
        <v>174.73497188581632</v>
      </c>
      <c r="F13">
        <f>'14_A'!$F$13*'12_X'!$B$6</f>
        <v>110.1671583496601</v>
      </c>
      <c r="G13">
        <f>'14_A'!$G$13*'12_X'!$B$7</f>
        <v>611.81341158540909</v>
      </c>
      <c r="H13">
        <f>'14_A'!$H$13*'12_X'!$B$8</f>
        <v>113.00942475178341</v>
      </c>
      <c r="I13">
        <f>'14_A'!$I$13*'12_X'!$B$9</f>
        <v>206.44634218480172</v>
      </c>
      <c r="J13">
        <f>'14_A'!$J$13*'12_X'!$B$10</f>
        <v>159.50336630177466</v>
      </c>
      <c r="K13">
        <f>'14_A'!$K$13*'12_X'!$B$11</f>
        <v>21.333208359290193</v>
      </c>
      <c r="L13">
        <f>'14_A'!$L$13*'12_X'!$B$12</f>
        <v>552.53157237422045</v>
      </c>
      <c r="M13">
        <f>'14_A'!$M$13*'12_X'!$B$13</f>
        <v>971.89635370596534</v>
      </c>
      <c r="N13">
        <f t="shared" si="0"/>
        <v>3237.5149945512203</v>
      </c>
    </row>
    <row r="14" spans="1:14" x14ac:dyDescent="0.25">
      <c r="A14" t="s">
        <v>80</v>
      </c>
      <c r="B14">
        <f>'14_A'!$B$14*'12_X'!$B$2</f>
        <v>2.4138853375949907</v>
      </c>
      <c r="C14">
        <f>'14_A'!$C$14*'12_X'!$B$3</f>
        <v>0.29231800845435846</v>
      </c>
      <c r="D14">
        <f>'14_A'!$D$14*'12_X'!$B$4</f>
        <v>13.406544576786059</v>
      </c>
      <c r="E14">
        <f>'14_A'!$E$14*'12_X'!$B$5</f>
        <v>7.9902696509565514</v>
      </c>
      <c r="F14">
        <f>'14_A'!$F$14*'12_X'!$B$6</f>
        <v>3.9893737159123916</v>
      </c>
      <c r="G14">
        <f>'14_A'!$G$14*'12_X'!$B$7</f>
        <v>22.251001552749717</v>
      </c>
      <c r="H14">
        <f>'14_A'!$H$14*'12_X'!$B$8</f>
        <v>5.2617662056737693</v>
      </c>
      <c r="I14">
        <f>'14_A'!$I$14*'12_X'!$B$9</f>
        <v>6.6675846342251948</v>
      </c>
      <c r="J14">
        <f>'14_A'!$J$14*'12_X'!$B$10</f>
        <v>5.1404739144225209</v>
      </c>
      <c r="K14">
        <f>'14_A'!$K$14*'12_X'!$B$11</f>
        <v>0.70330871691071284</v>
      </c>
      <c r="L14">
        <f>'14_A'!$L$14*'12_X'!$B$12</f>
        <v>18.482851174270408</v>
      </c>
      <c r="M14">
        <f>'14_A'!$M$14*'12_X'!$B$13</f>
        <v>31.735788583618376</v>
      </c>
      <c r="N14">
        <f t="shared" si="0"/>
        <v>118.33516607157503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4"/>
  <sheetViews>
    <sheetView workbookViewId="0"/>
  </sheetViews>
  <sheetFormatPr defaultColWidth="11.42578125" defaultRowHeight="15" x14ac:dyDescent="0.25"/>
  <cols>
    <col min="1" max="1" width="44.7109375" customWidth="1"/>
    <col min="2" max="9" width="16.7109375" customWidth="1"/>
  </cols>
  <sheetData>
    <row r="1" spans="1:9" ht="15.75" x14ac:dyDescent="0.25">
      <c r="A1" s="1" t="s">
        <v>169</v>
      </c>
    </row>
    <row r="2" spans="1:9" ht="30" x14ac:dyDescent="0.25">
      <c r="A2" s="2" t="s">
        <v>170</v>
      </c>
      <c r="B2" s="2" t="s">
        <v>92</v>
      </c>
      <c r="C2" s="2" t="s">
        <v>93</v>
      </c>
      <c r="D2" s="2" t="s">
        <v>95</v>
      </c>
      <c r="E2" s="2" t="s">
        <v>96</v>
      </c>
      <c r="F2" s="2" t="s">
        <v>97</v>
      </c>
      <c r="G2" s="2" t="s">
        <v>98</v>
      </c>
      <c r="H2" s="2" t="s">
        <v>99</v>
      </c>
      <c r="I2" s="2" t="s">
        <v>145</v>
      </c>
    </row>
    <row r="3" spans="1:9" x14ac:dyDescent="0.25">
      <c r="A3" t="s">
        <v>69</v>
      </c>
      <c r="B3">
        <f t="array" ref="B3">MMULT('11_D'!$B$3:$M$3,'10_Usos_basicos'!$N$18:$N$29)</f>
        <v>1873.506396167533</v>
      </c>
      <c r="C3">
        <f t="array" ref="C3">MMULT('11_D'!$B$3:$M$3,'10_Usos_basicos'!$O$18:$O$29)</f>
        <v>966.14537189697126</v>
      </c>
      <c r="D3">
        <f t="array" ref="D3">MMULT('11_D'!$B$3:$M$3,'10_Usos_basicos'!$P$18:$P$29)</f>
        <v>1.3963082737967367</v>
      </c>
      <c r="E3">
        <f t="array" ref="E3">MMULT('11_D'!$B$3:$M$3,'10_Usos_basicos'!$Q$18:$Q$29)</f>
        <v>2311.0100757311784</v>
      </c>
      <c r="F3">
        <f t="array" ref="F3">MMULT('11_D'!$B$3:$M$3,'10_Usos_basicos'!$R$18:$R$29)</f>
        <v>8.4333778306777425E-3</v>
      </c>
      <c r="G3">
        <f t="array" ref="G3">MMULT('11_D'!$B$3:$M$3,'10_Usos_basicos'!$S$18:$S$29)</f>
        <v>192.2250631269554</v>
      </c>
      <c r="H3">
        <f t="array" ref="H3">MMULT('11_D'!$B$3:$M$3,'10_Usos_basicos'!$T$18:$T$29)</f>
        <v>621.91663555861703</v>
      </c>
      <c r="I3">
        <f t="shared" ref="I3:I14" si="0">SUM(B3:H3)</f>
        <v>5966.208284132882</v>
      </c>
    </row>
    <row r="4" spans="1:9" x14ac:dyDescent="0.25">
      <c r="A4" t="s">
        <v>70</v>
      </c>
      <c r="B4">
        <f t="array" ref="B4">MMULT('11_D'!$B$4:$M$4,'10_Usos_basicos'!$N$18:$N$29)</f>
        <v>2.7750835926885506</v>
      </c>
      <c r="C4">
        <f t="array" ref="C4">MMULT('11_D'!$B$4:$M$4,'10_Usos_basicos'!$O$18:$O$29)</f>
        <v>42.185466315915328</v>
      </c>
      <c r="D4">
        <f t="array" ref="D4">MMULT('11_D'!$B$4:$M$4,'10_Usos_basicos'!$P$18:$P$29)</f>
        <v>1.3053333092514271E-2</v>
      </c>
      <c r="E4">
        <f t="array" ref="E4">MMULT('11_D'!$B$4:$M$4,'10_Usos_basicos'!$Q$18:$Q$29)</f>
        <v>2.9944214852315887</v>
      </c>
      <c r="F4">
        <f t="array" ref="F4">MMULT('11_D'!$B$4:$M$4,'10_Usos_basicos'!$R$18:$R$29)</f>
        <v>0</v>
      </c>
      <c r="G4">
        <f t="array" ref="G4">MMULT('11_D'!$B$4:$M$4,'10_Usos_basicos'!$S$18:$S$29)</f>
        <v>0.26990615805550489</v>
      </c>
      <c r="H4">
        <f t="array" ref="H4">MMULT('11_D'!$B$4:$M$4,'10_Usos_basicos'!$T$18:$T$29)</f>
        <v>28.808319774378582</v>
      </c>
      <c r="I4">
        <f t="shared" si="0"/>
        <v>77.046250659362073</v>
      </c>
    </row>
    <row r="5" spans="1:9" x14ac:dyDescent="0.25">
      <c r="A5" t="s">
        <v>71</v>
      </c>
      <c r="B5">
        <f t="array" ref="B5">MMULT('11_D'!$B$5:$M$5,'10_Usos_basicos'!$N$18:$N$29)</f>
        <v>404.59642153585122</v>
      </c>
      <c r="C5">
        <f t="array" ref="C5">MMULT('11_D'!$B$5:$M$5,'10_Usos_basicos'!$O$18:$O$29)</f>
        <v>863.74643408098643</v>
      </c>
      <c r="D5">
        <f t="array" ref="D5">MMULT('11_D'!$B$5:$M$5,'10_Usos_basicos'!$P$18:$P$29)</f>
        <v>19.115479307167398</v>
      </c>
      <c r="E5">
        <f t="array" ref="E5">MMULT('11_D'!$B$5:$M$5,'10_Usos_basicos'!$Q$18:$Q$29)</f>
        <v>3965.9979208301093</v>
      </c>
      <c r="F5">
        <f t="array" ref="F5">MMULT('11_D'!$B$5:$M$5,'10_Usos_basicos'!$R$18:$R$29)</f>
        <v>3.9144198435504636E-3</v>
      </c>
      <c r="G5">
        <f t="array" ref="G5">MMULT('11_D'!$B$5:$M$5,'10_Usos_basicos'!$S$18:$S$29)</f>
        <v>395.01334875250808</v>
      </c>
      <c r="H5">
        <f t="array" ref="H5">MMULT('11_D'!$B$5:$M$5,'10_Usos_basicos'!$T$18:$T$29)</f>
        <v>367.52066475573429</v>
      </c>
      <c r="I5">
        <f t="shared" si="0"/>
        <v>6015.9941836821999</v>
      </c>
    </row>
    <row r="6" spans="1:9" x14ac:dyDescent="0.25">
      <c r="A6" t="s">
        <v>72</v>
      </c>
      <c r="B6">
        <f t="array" ref="B6">MMULT('11_D'!$B$6:$M$6,'10_Usos_basicos'!$N$18:$N$29)</f>
        <v>1.6913082348121682E-6</v>
      </c>
      <c r="C6">
        <f t="array" ref="C6">MMULT('11_D'!$B$6:$M$6,'10_Usos_basicos'!$O$18:$O$29)</f>
        <v>544.50390667437432</v>
      </c>
      <c r="D6">
        <f t="array" ref="D6">MMULT('11_D'!$B$6:$M$6,'10_Usos_basicos'!$P$18:$P$29)</f>
        <v>1.5414423373712623E-5</v>
      </c>
      <c r="E6">
        <f t="array" ref="E6">MMULT('11_D'!$B$6:$M$6,'10_Usos_basicos'!$Q$18:$Q$29)</f>
        <v>1129.6959932806005</v>
      </c>
      <c r="F6">
        <f t="array" ref="F6">MMULT('11_D'!$B$6:$M$6,'10_Usos_basicos'!$R$18:$R$29)</f>
        <v>1.2637732010522165E-5</v>
      </c>
      <c r="G6">
        <f t="array" ref="G6">MMULT('11_D'!$B$6:$M$6,'10_Usos_basicos'!$S$18:$S$29)</f>
        <v>4.3333380302725106E-6</v>
      </c>
      <c r="H6">
        <f t="array" ref="H6">MMULT('11_D'!$B$6:$M$6,'10_Usos_basicos'!$T$18:$T$29)</f>
        <v>1.4824935369908159</v>
      </c>
      <c r="I6">
        <f t="shared" si="0"/>
        <v>1675.6824275687673</v>
      </c>
    </row>
    <row r="7" spans="1:9" x14ac:dyDescent="0.25">
      <c r="A7" t="s">
        <v>73</v>
      </c>
      <c r="B7">
        <f t="array" ref="B7">MMULT('11_D'!$B$7:$M$7,'10_Usos_basicos'!$N$18:$N$29)</f>
        <v>1.5763111593937722E-2</v>
      </c>
      <c r="C7">
        <f t="array" ref="C7">MMULT('11_D'!$B$7:$M$7,'10_Usos_basicos'!$O$18:$O$29)</f>
        <v>5.4756022226464203E-2</v>
      </c>
      <c r="D7">
        <f t="array" ref="D7">MMULT('11_D'!$B$7:$M$7,'10_Usos_basicos'!$P$18:$P$29)</f>
        <v>0.12444223228262054</v>
      </c>
      <c r="E7">
        <f t="array" ref="E7">MMULT('11_D'!$B$7:$M$7,'10_Usos_basicos'!$Q$18:$Q$29)</f>
        <v>5.1582984447660571</v>
      </c>
      <c r="F7">
        <f t="array" ref="F7">MMULT('11_D'!$B$7:$M$7,'10_Usos_basicos'!$R$18:$R$29)</f>
        <v>0.1019441930495508</v>
      </c>
      <c r="G7">
        <f t="array" ref="G7">MMULT('11_D'!$B$7:$M$7,'10_Usos_basicos'!$S$18:$S$29)</f>
        <v>4537.471716895765</v>
      </c>
      <c r="H7">
        <f t="array" ref="H7">MMULT('11_D'!$B$7:$M$7,'10_Usos_basicos'!$T$18:$T$29)</f>
        <v>1.9039603635273808E-3</v>
      </c>
      <c r="I7">
        <f t="shared" si="0"/>
        <v>4542.9288248600478</v>
      </c>
    </row>
    <row r="8" spans="1:9" x14ac:dyDescent="0.25">
      <c r="A8" t="s">
        <v>74</v>
      </c>
      <c r="B8">
        <f t="array" ref="B8">MMULT('11_D'!$B$8:$M$8,'10_Usos_basicos'!$N$18:$N$29)</f>
        <v>336.05613274067287</v>
      </c>
      <c r="C8">
        <f t="array" ref="C8">MMULT('11_D'!$B$8:$M$8,'10_Usos_basicos'!$O$18:$O$29)</f>
        <v>1223.2960933066768</v>
      </c>
      <c r="D8">
        <f t="array" ref="D8">MMULT('11_D'!$B$8:$M$8,'10_Usos_basicos'!$P$18:$P$29)</f>
        <v>26.858564548772311</v>
      </c>
      <c r="E8">
        <f t="array" ref="E8">MMULT('11_D'!$B$8:$M$8,'10_Usos_basicos'!$Q$18:$Q$29)</f>
        <v>4711.6774099927707</v>
      </c>
      <c r="F8">
        <f t="array" ref="F8">MMULT('11_D'!$B$8:$M$8,'10_Usos_basicos'!$R$18:$R$29)</f>
        <v>1.9078807239185924</v>
      </c>
      <c r="G8">
        <f t="array" ref="G8">MMULT('11_D'!$B$8:$M$8,'10_Usos_basicos'!$S$18:$S$29)</f>
        <v>524.30610739898702</v>
      </c>
      <c r="H8">
        <f t="array" ref="H8">MMULT('11_D'!$B$8:$M$8,'10_Usos_basicos'!$T$18:$T$29)</f>
        <v>545.08904235871751</v>
      </c>
      <c r="I8">
        <f t="shared" si="0"/>
        <v>7369.1912310705156</v>
      </c>
    </row>
    <row r="9" spans="1:9" x14ac:dyDescent="0.25">
      <c r="A9" t="s">
        <v>75</v>
      </c>
      <c r="B9">
        <f t="array" ref="B9">MMULT('11_D'!$B$9:$M$9,'10_Usos_basicos'!$N$18:$N$29)</f>
        <v>46.604888689989835</v>
      </c>
      <c r="C9">
        <f t="array" ref="C9">MMULT('11_D'!$B$9:$M$9,'10_Usos_basicos'!$O$18:$O$29)</f>
        <v>72.906729185685933</v>
      </c>
      <c r="D9">
        <f t="array" ref="D9">MMULT('11_D'!$B$9:$M$9,'10_Usos_basicos'!$P$18:$P$29)</f>
        <v>3.9736321608948906</v>
      </c>
      <c r="E9">
        <f t="array" ref="E9">MMULT('11_D'!$B$9:$M$9,'10_Usos_basicos'!$Q$18:$Q$29)</f>
        <v>1091.7926168588115</v>
      </c>
      <c r="F9">
        <f t="array" ref="F9">MMULT('11_D'!$B$9:$M$9,'10_Usos_basicos'!$R$18:$R$29)</f>
        <v>2.4151244154259195</v>
      </c>
      <c r="G9">
        <f t="array" ref="G9">MMULT('11_D'!$B$9:$M$9,'10_Usos_basicos'!$S$18:$S$29)</f>
        <v>23.829047670152129</v>
      </c>
      <c r="H9">
        <f t="array" ref="H9">MMULT('11_D'!$B$9:$M$9,'10_Usos_basicos'!$T$18:$T$29)</f>
        <v>36.747189575047507</v>
      </c>
      <c r="I9">
        <f t="shared" si="0"/>
        <v>1278.2692285560076</v>
      </c>
    </row>
    <row r="10" spans="1:9" x14ac:dyDescent="0.25">
      <c r="A10" t="s">
        <v>76</v>
      </c>
      <c r="B10">
        <f t="array" ref="B10">MMULT('11_D'!$B$10:$M$10,'10_Usos_basicos'!$N$18:$N$29)</f>
        <v>2.5451889891625301</v>
      </c>
      <c r="C10">
        <f t="array" ref="C10">MMULT('11_D'!$B$10:$M$10,'10_Usos_basicos'!$O$18:$O$29)</f>
        <v>17.752577846427922</v>
      </c>
      <c r="D10">
        <f t="array" ref="D10">MMULT('11_D'!$B$10:$M$10,'10_Usos_basicos'!$P$18:$P$29)</f>
        <v>4.0301357206373629E-3</v>
      </c>
      <c r="E10">
        <f t="array" ref="E10">MMULT('11_D'!$B$10:$M$10,'10_Usos_basicos'!$Q$18:$Q$29)</f>
        <v>549.00794125931043</v>
      </c>
      <c r="F10">
        <f t="array" ref="F10">MMULT('11_D'!$B$10:$M$10,'10_Usos_basicos'!$R$18:$R$29)</f>
        <v>3.3041635076862755E-3</v>
      </c>
      <c r="G10">
        <f t="array" ref="G10">MMULT('11_D'!$B$10:$M$10,'10_Usos_basicos'!$S$18:$S$29)</f>
        <v>73.347315804080438</v>
      </c>
      <c r="H10">
        <f t="array" ref="H10">MMULT('11_D'!$B$10:$M$10,'10_Usos_basicos'!$T$18:$T$29)</f>
        <v>-0.30333106652135927</v>
      </c>
      <c r="I10">
        <f t="shared" si="0"/>
        <v>642.35702713168837</v>
      </c>
    </row>
    <row r="11" spans="1:9" x14ac:dyDescent="0.25">
      <c r="A11" t="s">
        <v>77</v>
      </c>
      <c r="B11">
        <f t="array" ref="B11">MMULT('11_D'!$B$11:$M$11,'10_Usos_basicos'!$N$18:$N$29)</f>
        <v>8.440538655270359</v>
      </c>
      <c r="C11">
        <f t="array" ref="C11">MMULT('11_D'!$B$11:$M$11,'10_Usos_basicos'!$O$18:$O$29)</f>
        <v>0.18469588435126355</v>
      </c>
      <c r="D11">
        <f t="array" ref="D11">MMULT('11_D'!$B$11:$M$11,'10_Usos_basicos'!$P$18:$P$29)</f>
        <v>3.1571724399171988</v>
      </c>
      <c r="E11">
        <f t="array" ref="E11">MMULT('11_D'!$B$11:$M$11,'10_Usos_basicos'!$Q$18:$Q$29)</f>
        <v>1470.0135329383472</v>
      </c>
      <c r="F11">
        <f t="array" ref="F11">MMULT('11_D'!$B$11:$M$11,'10_Usos_basicos'!$R$18:$R$29)</f>
        <v>0.2034982112690992</v>
      </c>
      <c r="G11">
        <f t="array" ref="G11">MMULT('11_D'!$B$11:$M$11,'10_Usos_basicos'!$S$18:$S$29)</f>
        <v>0.29471248673916284</v>
      </c>
      <c r="H11">
        <f t="array" ref="H11">MMULT('11_D'!$B$11:$M$11,'10_Usos_basicos'!$T$18:$T$29)</f>
        <v>-9.3024386769101645E-4</v>
      </c>
      <c r="I11">
        <f t="shared" si="0"/>
        <v>1482.2932203720266</v>
      </c>
    </row>
    <row r="12" spans="1:9" x14ac:dyDescent="0.25">
      <c r="A12" t="s">
        <v>78</v>
      </c>
      <c r="B12">
        <f t="array" ref="B12">MMULT('11_D'!$B$12:$M$12,'10_Usos_basicos'!$N$18:$N$29)</f>
        <v>0</v>
      </c>
      <c r="C12">
        <f t="array" ref="C12">MMULT('11_D'!$B$12:$M$12,'10_Usos_basicos'!$O$18:$O$29)</f>
        <v>3.4993104132961199</v>
      </c>
      <c r="D12">
        <f t="array" ref="D12">MMULT('11_D'!$B$12:$M$12,'10_Usos_basicos'!$P$18:$P$29)</f>
        <v>0</v>
      </c>
      <c r="E12">
        <f t="array" ref="E12">MMULT('11_D'!$B$12:$M$12,'10_Usos_basicos'!$Q$18:$Q$29)</f>
        <v>3324.3619868560427</v>
      </c>
      <c r="F12">
        <f t="array" ref="F12">MMULT('11_D'!$B$12:$M$12,'10_Usos_basicos'!$R$18:$R$29)</f>
        <v>0</v>
      </c>
      <c r="G12">
        <f t="array" ref="G12">MMULT('11_D'!$B$12:$M$12,'10_Usos_basicos'!$S$18:$S$29)</f>
        <v>0</v>
      </c>
      <c r="H12">
        <f t="array" ref="H12">MMULT('11_D'!$B$12:$M$12,'10_Usos_basicos'!$T$18:$T$29)</f>
        <v>0</v>
      </c>
      <c r="I12">
        <f t="shared" si="0"/>
        <v>3327.8612972693386</v>
      </c>
    </row>
    <row r="13" spans="1:9" x14ac:dyDescent="0.25">
      <c r="A13" t="s">
        <v>79</v>
      </c>
      <c r="B13">
        <f t="array" ref="B13">MMULT('11_D'!$B$13:$M$13,'10_Usos_basicos'!$N$18:$N$29)</f>
        <v>38.58563375143126</v>
      </c>
      <c r="C13">
        <f t="array" ref="C13">MMULT('11_D'!$B$13:$M$13,'10_Usos_basicos'!$O$18:$O$29)</f>
        <v>132.56389876379129</v>
      </c>
      <c r="D13">
        <f t="array" ref="D13">MMULT('11_D'!$B$13:$M$13,'10_Usos_basicos'!$P$18:$P$29)</f>
        <v>343.94779906499713</v>
      </c>
      <c r="E13">
        <f t="array" ref="E13">MMULT('11_D'!$B$13:$M$13,'10_Usos_basicos'!$Q$18:$Q$29)</f>
        <v>5415.2407803565065</v>
      </c>
      <c r="F13">
        <f t="array" ref="F13">MMULT('11_D'!$B$13:$M$13,'10_Usos_basicos'!$R$18:$R$29)</f>
        <v>281.94386058330502</v>
      </c>
      <c r="G13">
        <f t="array" ref="G13">MMULT('11_D'!$B$13:$M$13,'10_Usos_basicos'!$S$18:$S$29)</f>
        <v>97.917395936785823</v>
      </c>
      <c r="H13">
        <f t="array" ref="H13">MMULT('11_D'!$B$13:$M$13,'10_Usos_basicos'!$T$18:$T$29)</f>
        <v>1.2297844025469715</v>
      </c>
      <c r="I13">
        <f t="shared" si="0"/>
        <v>6311.4291528593631</v>
      </c>
    </row>
    <row r="14" spans="1:9" x14ac:dyDescent="0.25">
      <c r="A14" t="s">
        <v>80</v>
      </c>
      <c r="B14">
        <f t="array" ref="B14">MMULT('11_D'!$B$14:$M$14,'10_Usos_basicos'!$N$18:$N$29)</f>
        <v>4.1390453307355193</v>
      </c>
      <c r="C14">
        <f t="array" ref="C14">MMULT('11_D'!$B$14:$M$14,'10_Usos_basicos'!$O$18:$O$29)</f>
        <v>7.3599157984163313</v>
      </c>
      <c r="D14">
        <f t="array" ref="D14">MMULT('11_D'!$B$14:$M$14,'10_Usos_basicos'!$P$18:$P$29)</f>
        <v>19324.92146809059</v>
      </c>
      <c r="E14">
        <f t="array" ref="E14">MMULT('11_D'!$B$14:$M$14,'10_Usos_basicos'!$Q$18:$Q$29)</f>
        <v>184.12087269083528</v>
      </c>
      <c r="F14">
        <f t="array" ref="F14">MMULT('11_D'!$B$14:$M$14,'10_Usos_basicos'!$R$18:$R$29)</f>
        <v>8.4903722976588938</v>
      </c>
      <c r="G14">
        <f t="array" ref="G14">MMULT('11_D'!$B$14:$M$14,'10_Usos_basicos'!$S$18:$S$29)</f>
        <v>3.6384750544593913</v>
      </c>
      <c r="H14">
        <f t="array" ref="H14">MMULT('11_D'!$B$14:$M$14,'10_Usos_basicos'!$T$18:$T$29)</f>
        <v>1.3617353914405925</v>
      </c>
      <c r="I14">
        <f t="shared" si="0"/>
        <v>19534.031884654138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9"/>
  <sheetViews>
    <sheetView topLeftCell="A17" workbookViewId="0">
      <selection activeCell="B18" sqref="B18"/>
    </sheetView>
  </sheetViews>
  <sheetFormatPr defaultColWidth="11.42578125" defaultRowHeight="15" x14ac:dyDescent="0.25"/>
  <cols>
    <col min="1" max="1" width="44.7109375" customWidth="1"/>
    <col min="2" max="14" width="16.7109375" customWidth="1"/>
  </cols>
  <sheetData>
    <row r="1" spans="1:13" ht="15.75" x14ac:dyDescent="0.25">
      <c r="A1" s="1" t="s">
        <v>171</v>
      </c>
    </row>
    <row r="2" spans="1:13" ht="90" x14ac:dyDescent="0.25">
      <c r="A2" s="2" t="s">
        <v>167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</row>
    <row r="3" spans="1:13" x14ac:dyDescent="0.25">
      <c r="A3" t="s">
        <v>69</v>
      </c>
      <c r="B3">
        <f>1-'14_A'!$B$3</f>
        <v>0.96579059591451966</v>
      </c>
      <c r="C3">
        <f>-'14_A'!$C$3</f>
        <v>-1.3467204058229881E-3</v>
      </c>
      <c r="D3">
        <f>-'14_A'!$D$3</f>
        <v>-0.14728885103919484</v>
      </c>
      <c r="E3">
        <f>-'14_A'!$E$3</f>
        <v>-7.1937587371015334E-4</v>
      </c>
      <c r="F3">
        <f>-'14_A'!$F$3</f>
        <v>-4.3409301370549288E-3</v>
      </c>
      <c r="G3">
        <f>-'14_A'!$G$3</f>
        <v>-5.195899927418127E-3</v>
      </c>
      <c r="H3">
        <f>-'14_A'!$H$3</f>
        <v>-1.2836108096578517E-3</v>
      </c>
      <c r="I3">
        <f>-'14_A'!$I$3</f>
        <v>-4.5956522959089127E-4</v>
      </c>
      <c r="J3">
        <f>-'14_A'!$J$3</f>
        <v>-8.6551620557800545E-5</v>
      </c>
      <c r="K3">
        <f>-'14_A'!$K$3</f>
        <v>-9.3720604979804497E-5</v>
      </c>
      <c r="L3">
        <f>-'14_A'!$L$3</f>
        <v>-5.8695313222475063E-3</v>
      </c>
      <c r="M3">
        <f>-'14_A'!$M$3</f>
        <v>-2.1420396779378934E-3</v>
      </c>
    </row>
    <row r="4" spans="1:13" x14ac:dyDescent="0.25">
      <c r="A4" t="s">
        <v>70</v>
      </c>
      <c r="B4">
        <f>-'14_A'!$B$4</f>
        <v>-5.8600589024919664E-4</v>
      </c>
      <c r="C4">
        <f>1-'14_A'!$C$4</f>
        <v>0.98873324715897526</v>
      </c>
      <c r="D4">
        <f>-'14_A'!$D$4</f>
        <v>-8.762094883912639E-3</v>
      </c>
      <c r="E4">
        <f>-'14_A'!$E$4</f>
        <v>-4.7714074096157408E-4</v>
      </c>
      <c r="F4">
        <f>-'14_A'!$F$4</f>
        <v>-8.4762878944314585E-3</v>
      </c>
      <c r="G4">
        <f>-'14_A'!$G$4</f>
        <v>-3.9740363862801335E-5</v>
      </c>
      <c r="H4">
        <f>-'14_A'!$H$4</f>
        <v>-3.5681004398365067E-5</v>
      </c>
      <c r="I4">
        <f>-'14_A'!$I$4</f>
        <v>-6.1440231671420989E-6</v>
      </c>
      <c r="J4">
        <f>-'14_A'!$J$4</f>
        <v>-2.4205788422958316E-6</v>
      </c>
      <c r="K4">
        <f>-'14_A'!$K$4</f>
        <v>-6.9682276874730674E-4</v>
      </c>
      <c r="L4">
        <f>-'14_A'!$L$4</f>
        <v>-3.6832113932049622E-5</v>
      </c>
      <c r="M4">
        <f>-'14_A'!$M$4</f>
        <v>-5.4619659870433618E-5</v>
      </c>
    </row>
    <row r="5" spans="1:13" x14ac:dyDescent="0.25">
      <c r="A5" t="s">
        <v>71</v>
      </c>
      <c r="B5">
        <f>-'14_A'!$B$5</f>
        <v>-5.2129958933373535E-2</v>
      </c>
      <c r="C5">
        <f>-'14_A'!$C$5</f>
        <v>-4.8644790406913836E-2</v>
      </c>
      <c r="D5">
        <f>1-'14_A'!$D$5</f>
        <v>0.92438273304718055</v>
      </c>
      <c r="E5">
        <f>-'14_A'!$E$5</f>
        <v>-1.7416047260361851E-2</v>
      </c>
      <c r="F5">
        <f>-'14_A'!$F$5</f>
        <v>-6.0520637876012875E-2</v>
      </c>
      <c r="G5">
        <f>-'14_A'!$G$5</f>
        <v>-1.5995339955743589E-2</v>
      </c>
      <c r="H5">
        <f>-'14_A'!$H$5</f>
        <v>-4.9303719369210373E-2</v>
      </c>
      <c r="I5">
        <f>-'14_A'!$I$5</f>
        <v>-7.1844110485096285E-3</v>
      </c>
      <c r="J5">
        <f>-'14_A'!$J$5</f>
        <v>-2.42843435990007E-3</v>
      </c>
      <c r="K5">
        <f>-'14_A'!$K$5</f>
        <v>-2.2976965743428278E-3</v>
      </c>
      <c r="L5">
        <f>-'14_A'!$L$5</f>
        <v>-2.1908986006574243E-2</v>
      </c>
      <c r="M5">
        <f>-'14_A'!$M$5</f>
        <v>-8.4087710435141686E-3</v>
      </c>
    </row>
    <row r="6" spans="1:13" x14ac:dyDescent="0.25">
      <c r="A6" t="s">
        <v>72</v>
      </c>
      <c r="B6">
        <f>-'14_A'!$B$6</f>
        <v>-1.8044665613118634E-2</v>
      </c>
      <c r="C6">
        <f>-'14_A'!$C$6</f>
        <v>-3.3344969940364448E-2</v>
      </c>
      <c r="D6">
        <f>-'14_A'!$D$6</f>
        <v>-1.4946273207834936E-2</v>
      </c>
      <c r="E6">
        <f>1-'14_A'!$E$6</f>
        <v>0.67909652583845359</v>
      </c>
      <c r="F6">
        <f>-'14_A'!$F$6</f>
        <v>-1.7410359213031834E-3</v>
      </c>
      <c r="G6">
        <f>-'14_A'!$G$6</f>
        <v>-2.3247968892512298E-2</v>
      </c>
      <c r="H6">
        <f>-'14_A'!$H$6</f>
        <v>-8.9431044342794929E-3</v>
      </c>
      <c r="I6">
        <f>-'14_A'!$I$6</f>
        <v>-1.3175918006663142E-2</v>
      </c>
      <c r="J6">
        <f>-'14_A'!$J$6</f>
        <v>-5.0093769469170997E-3</v>
      </c>
      <c r="K6">
        <f>-'14_A'!$K$6</f>
        <v>-1.6068620693170238E-3</v>
      </c>
      <c r="L6">
        <f>-'14_A'!$L$6</f>
        <v>-2.0387182006364187E-2</v>
      </c>
      <c r="M6">
        <f>-'14_A'!$M$6</f>
        <v>-1.7276612552943119E-2</v>
      </c>
    </row>
    <row r="7" spans="1:13" x14ac:dyDescent="0.25">
      <c r="A7" t="s">
        <v>73</v>
      </c>
      <c r="B7">
        <f>-'14_A'!$B$7</f>
        <v>-4.6976326396335686E-4</v>
      </c>
      <c r="C7">
        <f>-'14_A'!$C$7</f>
        <v>-7.63577533001981E-5</v>
      </c>
      <c r="D7">
        <f>-'14_A'!$D$7</f>
        <v>-2.7419626618092598E-4</v>
      </c>
      <c r="E7">
        <f>-'14_A'!$E$7</f>
        <v>-1.8019868825151681E-2</v>
      </c>
      <c r="F7">
        <f>1-'14_A'!$F$7</f>
        <v>0.88483010656129568</v>
      </c>
      <c r="G7">
        <f>-'14_A'!$G$7</f>
        <v>-1.1012218117266682E-3</v>
      </c>
      <c r="H7">
        <f>-'14_A'!$H$7</f>
        <v>-2.9637038109366362E-3</v>
      </c>
      <c r="I7">
        <f>-'14_A'!$I$7</f>
        <v>-2.1337797992084889E-2</v>
      </c>
      <c r="J7">
        <f>-'14_A'!$J$7</f>
        <v>-1.9812843748960507E-3</v>
      </c>
      <c r="K7">
        <f>-'14_A'!$K$7</f>
        <v>-2.4422520125281606E-3</v>
      </c>
      <c r="L7">
        <f>-'14_A'!$L$7</f>
        <v>-2.4638438453888885E-3</v>
      </c>
      <c r="M7">
        <f>-'14_A'!$M$7</f>
        <v>-1.7236046054205242E-2</v>
      </c>
    </row>
    <row r="8" spans="1:13" x14ac:dyDescent="0.25">
      <c r="A8" t="s">
        <v>74</v>
      </c>
      <c r="B8">
        <f>-'14_A'!$B$8</f>
        <v>-6.9864205745571201E-2</v>
      </c>
      <c r="C8">
        <f>-'14_A'!$C$8</f>
        <v>-6.3497161938703847E-2</v>
      </c>
      <c r="D8">
        <f>-'14_A'!$D$8</f>
        <v>-0.10216930408764643</v>
      </c>
      <c r="E8">
        <f>-'14_A'!$E$8</f>
        <v>-1.9844795193361076E-2</v>
      </c>
      <c r="F8">
        <f>-'14_A'!$F$8</f>
        <v>-7.8115506062384363E-2</v>
      </c>
      <c r="G8">
        <f>1-'14_A'!$G$8</f>
        <v>0.98774979788350292</v>
      </c>
      <c r="H8">
        <f>-'14_A'!$H$8</f>
        <v>-3.9584397505093967E-2</v>
      </c>
      <c r="I8">
        <f>-'14_A'!$I$8</f>
        <v>4.7471340043103855E-3</v>
      </c>
      <c r="J8">
        <f>-'14_A'!$J$8</f>
        <v>-5.1368554555924345E-3</v>
      </c>
      <c r="K8">
        <f>-'14_A'!$K$8</f>
        <v>-3.1200330141205818E-3</v>
      </c>
      <c r="L8">
        <f>-'14_A'!$L$8</f>
        <v>-2.8121185626379511E-2</v>
      </c>
      <c r="M8">
        <f>-'14_A'!$M$8</f>
        <v>-8.426473888979014E-3</v>
      </c>
    </row>
    <row r="9" spans="1:13" x14ac:dyDescent="0.25">
      <c r="A9" t="s">
        <v>75</v>
      </c>
      <c r="B9">
        <f>-'14_A'!$B$9</f>
        <v>-1.3409640037139002E-2</v>
      </c>
      <c r="C9">
        <f>-'14_A'!$C$9</f>
        <v>-2.5767529002791032E-2</v>
      </c>
      <c r="D9">
        <f>-'14_A'!$D$9</f>
        <v>-4.2464982168632252E-2</v>
      </c>
      <c r="E9">
        <f>-'14_A'!$E$9</f>
        <v>-5.1229754185833564E-3</v>
      </c>
      <c r="F9">
        <f>-'14_A'!$F$9</f>
        <v>-9.6986198762271172E-3</v>
      </c>
      <c r="G9">
        <f>-'14_A'!$G$9</f>
        <v>-3.3749335186441652E-2</v>
      </c>
      <c r="H9">
        <f>1-'14_A'!$H$9</f>
        <v>0.91947976606310156</v>
      </c>
      <c r="I9">
        <f>-'14_A'!$I$9</f>
        <v>-6.6339173882429686E-3</v>
      </c>
      <c r="J9">
        <f>-'14_A'!$J$9</f>
        <v>-8.7720412565026138E-3</v>
      </c>
      <c r="K9">
        <f>-'14_A'!$K$9</f>
        <v>-6.6732060243051216E-4</v>
      </c>
      <c r="L9">
        <f>-'14_A'!$L$9</f>
        <v>-1.1184921857068913E-2</v>
      </c>
      <c r="M9">
        <f>-'14_A'!$M$9</f>
        <v>-7.9558650824633915E-3</v>
      </c>
    </row>
    <row r="10" spans="1:13" x14ac:dyDescent="0.25">
      <c r="A10" t="s">
        <v>76</v>
      </c>
      <c r="B10">
        <f>-'14_A'!$B$10</f>
        <v>-5.4004743074137093E-5</v>
      </c>
      <c r="C10">
        <f>-'14_A'!$C$10</f>
        <v>-7.2387137716555569E-4</v>
      </c>
      <c r="D10">
        <f>-'14_A'!$D$10</f>
        <v>-3.9847431193430517E-3</v>
      </c>
      <c r="E10">
        <f>-'14_A'!$E$10</f>
        <v>-6.689709834821261E-3</v>
      </c>
      <c r="F10">
        <f>-'14_A'!$F$10</f>
        <v>-1.952444658427688E-3</v>
      </c>
      <c r="G10">
        <f>-'14_A'!$G$10</f>
        <v>-1.0313802275121227E-2</v>
      </c>
      <c r="H10">
        <f>-'14_A'!$H$10</f>
        <v>-7.9712715022881367E-3</v>
      </c>
      <c r="I10">
        <f>1-'14_A'!$I$10</f>
        <v>0.88306220211112185</v>
      </c>
      <c r="J10">
        <f>-'14_A'!$J$10</f>
        <v>-2.9848106454797695E-2</v>
      </c>
      <c r="K10">
        <f>-'14_A'!$K$10</f>
        <v>-9.8815747273891239E-4</v>
      </c>
      <c r="L10">
        <f>-'14_A'!$L$10</f>
        <v>-1.4267958154777291E-2</v>
      </c>
      <c r="M10">
        <f>-'14_A'!$M$10</f>
        <v>-1.3523655029261747E-2</v>
      </c>
    </row>
    <row r="11" spans="1:13" x14ac:dyDescent="0.25">
      <c r="A11" t="s">
        <v>77</v>
      </c>
      <c r="B11">
        <f>-'14_A'!$B$11</f>
        <v>-6.4471928262906236E-3</v>
      </c>
      <c r="C11">
        <f>-'14_A'!$C$11</f>
        <v>-1.3110891735051254E-2</v>
      </c>
      <c r="D11">
        <f>-'14_A'!$D$11</f>
        <v>-8.5065249042149699E-3</v>
      </c>
      <c r="E11">
        <f>-'14_A'!$E$11</f>
        <v>-1.2121177887069672E-2</v>
      </c>
      <c r="F11">
        <f>-'14_A'!$F$11</f>
        <v>-6.4154581378991025E-3</v>
      </c>
      <c r="G11">
        <f>-'14_A'!$G$11</f>
        <v>-9.7263602408397022E-3</v>
      </c>
      <c r="H11">
        <f>-'14_A'!$H$11</f>
        <v>-1.0290208403079521E-2</v>
      </c>
      <c r="I11">
        <f>-'14_A'!$I$11</f>
        <v>-1.7490327439660981E-2</v>
      </c>
      <c r="J11">
        <f>1-'14_A'!$J$11</f>
        <v>0.94116624992378783</v>
      </c>
      <c r="K11">
        <f>-'14_A'!$K$11</f>
        <v>-1.4331546868036196E-2</v>
      </c>
      <c r="L11">
        <f>-'14_A'!$L$11</f>
        <v>-6.1317635000023001E-3</v>
      </c>
      <c r="M11">
        <f>-'14_A'!$M$11</f>
        <v>-1.2925831577021705E-2</v>
      </c>
    </row>
    <row r="12" spans="1:13" x14ac:dyDescent="0.25">
      <c r="A12" t="s">
        <v>78</v>
      </c>
      <c r="B12">
        <f>-'14_A'!$B$12</f>
        <v>-2.7862595832929923E-5</v>
      </c>
      <c r="C12">
        <f>-'14_A'!$C$12</f>
        <v>-1.96200725393492E-3</v>
      </c>
      <c r="D12">
        <f>-'14_A'!$D$12</f>
        <v>-2.408103505226225E-3</v>
      </c>
      <c r="E12">
        <f>-'14_A'!$E$12</f>
        <v>-5.1227435805347677E-3</v>
      </c>
      <c r="F12">
        <f>-'14_A'!$F$12</f>
        <v>-2.14319718872103E-3</v>
      </c>
      <c r="G12">
        <f>-'14_A'!$G$12</f>
        <v>-3.3528937023713401E-2</v>
      </c>
      <c r="H12">
        <f>-'14_A'!$H$12</f>
        <v>-1.5353470689277249E-2</v>
      </c>
      <c r="I12">
        <f>-'14_A'!$I$12</f>
        <v>-1.5337467220129034E-2</v>
      </c>
      <c r="J12">
        <f>-'14_A'!$J$12</f>
        <v>-8.6973068509020347E-3</v>
      </c>
      <c r="K12">
        <f>1-'14_A'!$K$12</f>
        <v>0.99718119772310798</v>
      </c>
      <c r="L12">
        <f>-'14_A'!$L$12</f>
        <v>-1.7907036876845348E-2</v>
      </c>
      <c r="M12">
        <f>-'14_A'!$M$12</f>
        <v>-2.4132432512557452E-3</v>
      </c>
    </row>
    <row r="13" spans="1:13" x14ac:dyDescent="0.25">
      <c r="A13" t="s">
        <v>79</v>
      </c>
      <c r="B13">
        <f>-'14_A'!$B$13</f>
        <v>-3.5323530666076059E-3</v>
      </c>
      <c r="C13">
        <f>-'14_A'!$C$13</f>
        <v>-3.644619042423014E-2</v>
      </c>
      <c r="D13">
        <f>-'14_A'!$D$13</f>
        <v>-3.4563079024281664E-2</v>
      </c>
      <c r="E13">
        <f>-'14_A'!$E$13</f>
        <v>-4.270183361474935E-2</v>
      </c>
      <c r="F13">
        <f>-'14_A'!$F$13</f>
        <v>-1.9303555185813972E-2</v>
      </c>
      <c r="G13">
        <f>-'14_A'!$G$13</f>
        <v>-6.147627490053538E-2</v>
      </c>
      <c r="H13">
        <f>-'14_A'!$H$13</f>
        <v>-4.2587936326850956E-2</v>
      </c>
      <c r="I13">
        <f>-'14_A'!$I$13</f>
        <v>-0.13876403262333931</v>
      </c>
      <c r="J13">
        <f>-'14_A'!$J$13</f>
        <v>-6.7925801009077455E-2</v>
      </c>
      <c r="K13">
        <f>-'14_A'!$K$13</f>
        <v>-5.2952637664661299E-3</v>
      </c>
      <c r="L13">
        <f>1-'14_A'!$L$13</f>
        <v>0.94213689347800278</v>
      </c>
      <c r="M13">
        <f>-'14_A'!$M$13</f>
        <v>-4.9454421380387095E-2</v>
      </c>
    </row>
    <row r="14" spans="1:13" x14ac:dyDescent="0.25">
      <c r="A14" t="s">
        <v>80</v>
      </c>
      <c r="B14">
        <f>-'14_A'!$B$14</f>
        <v>-3.1724988310725992E-4</v>
      </c>
      <c r="C14">
        <f>-'14_A'!$C$14</f>
        <v>-1.3899256477756831E-3</v>
      </c>
      <c r="D14">
        <f>-'14_A'!$D$14</f>
        <v>-1.6458622348314769E-3</v>
      </c>
      <c r="E14">
        <f>-'14_A'!$E$14</f>
        <v>-1.952666724295413E-3</v>
      </c>
      <c r="F14">
        <f>-'14_A'!$F$14</f>
        <v>-6.9902044162318362E-4</v>
      </c>
      <c r="G14">
        <f>-'14_A'!$G$14</f>
        <v>-2.2358265810557853E-3</v>
      </c>
      <c r="H14">
        <f>-'14_A'!$H$14</f>
        <v>-1.982912174150097E-3</v>
      </c>
      <c r="I14">
        <f>-'14_A'!$I$14</f>
        <v>-4.4816533047327307E-3</v>
      </c>
      <c r="J14">
        <f>-'14_A'!$J$14</f>
        <v>-2.1891124701581468E-3</v>
      </c>
      <c r="K14">
        <f>-'14_A'!$K$14</f>
        <v>-1.7457313980038375E-4</v>
      </c>
      <c r="L14">
        <f>-'14_A'!$L$14</f>
        <v>-1.9355910861917072E-3</v>
      </c>
      <c r="M14">
        <f>1-'14_A'!$M$14</f>
        <v>0.99838514152721269</v>
      </c>
    </row>
    <row r="16" spans="1:13" ht="15.75" x14ac:dyDescent="0.25">
      <c r="A16" s="1" t="s">
        <v>172</v>
      </c>
    </row>
    <row r="17" spans="1:13" ht="90" x14ac:dyDescent="0.25">
      <c r="A17" s="2" t="s">
        <v>167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73</v>
      </c>
      <c r="G17" s="2" t="s">
        <v>74</v>
      </c>
      <c r="H17" s="2" t="s">
        <v>75</v>
      </c>
      <c r="I17" s="2" t="s">
        <v>76</v>
      </c>
      <c r="J17" s="2" t="s">
        <v>77</v>
      </c>
      <c r="K17" s="2" t="s">
        <v>78</v>
      </c>
      <c r="L17" s="2" t="s">
        <v>79</v>
      </c>
      <c r="M17" s="2" t="s">
        <v>80</v>
      </c>
    </row>
    <row r="18" spans="1:13" x14ac:dyDescent="0.25">
      <c r="A18" t="s">
        <v>69</v>
      </c>
      <c r="B18">
        <f t="array" ref="B18">INDEX(MINVERSE($B$3:$M$14),1,1)</f>
        <v>1.0455967770195442</v>
      </c>
      <c r="C18">
        <f t="array" ref="C18">INDEX(MINVERSE($B$3:$M$14),1,2)</f>
        <v>1.1340924881853525E-2</v>
      </c>
      <c r="D18">
        <f t="array" ref="D18">INDEX(MINVERSE($B$3:$M$14),1,3)</f>
        <v>0.168890630489024</v>
      </c>
      <c r="E18">
        <f t="array" ref="E18">INDEX(MINVERSE($B$3:$M$14),1,4)</f>
        <v>7.0896353492874951E-3</v>
      </c>
      <c r="F18">
        <f t="array" ref="F18">INDEX(MINVERSE($B$3:$M$14),1,5)</f>
        <v>1.8051570342509662E-2</v>
      </c>
      <c r="G18">
        <f t="array" ref="G18">INDEX(MINVERSE($B$3:$M$14),1,6)</f>
        <v>9.6121216416921711E-3</v>
      </c>
      <c r="H18">
        <f t="array" ref="H18">INDEX(MINVERSE($B$3:$M$14),1,7)</f>
        <v>1.1653192422442886E-2</v>
      </c>
      <c r="I18">
        <f t="array" ref="I18">INDEX(MINVERSE($B$3:$M$14),1,8)</f>
        <v>4.3219538490735241E-3</v>
      </c>
      <c r="J18">
        <f t="array" ref="J18">INDEX(MINVERSE($B$3:$M$14),1,9)</f>
        <v>1.7295135437717332E-3</v>
      </c>
      <c r="K18">
        <f t="array" ref="K18">INDEX(MINVERSE($B$3:$M$14),1,10)</f>
        <v>6.7816255462151685E-4</v>
      </c>
      <c r="L18">
        <f t="array" ref="L18">INDEX(MINVERSE($B$3:$M$14),1,11)</f>
        <v>1.1167570764507353E-2</v>
      </c>
      <c r="M18">
        <f t="array" ref="M18">INDEX(MINVERSE($B$3:$M$14),1,12)</f>
        <v>4.9104780260277566E-3</v>
      </c>
    </row>
    <row r="19" spans="1:13" x14ac:dyDescent="0.25">
      <c r="A19" t="s">
        <v>70</v>
      </c>
      <c r="B19">
        <f t="array" ref="B19">INDEX(MINVERSE($B$3:$M$14),2,1)</f>
        <v>1.2127367719096667E-3</v>
      </c>
      <c r="C19">
        <f t="array" ref="C19">INDEX(MINVERSE($B$3:$M$14),2,2)</f>
        <v>1.0119842133978012</v>
      </c>
      <c r="D19">
        <f t="array" ref="D19">INDEX(MINVERSE($B$3:$M$14),2,3)</f>
        <v>9.8961814746058273E-3</v>
      </c>
      <c r="E19">
        <f t="array" ref="E19">INDEX(MINVERSE($B$3:$M$14),2,4)</f>
        <v>1.2940967794224309E-3</v>
      </c>
      <c r="F19">
        <f t="array" ref="F19">INDEX(MINVERSE($B$3:$M$14),2,5)</f>
        <v>1.0428093634414401E-2</v>
      </c>
      <c r="G19">
        <f t="array" ref="G19">INDEX(MINVERSE($B$3:$M$14),2,6)</f>
        <v>3.2793546144982687E-4</v>
      </c>
      <c r="H19">
        <f t="array" ref="H19">INDEX(MINVERSE($B$3:$M$14),2,7)</f>
        <v>6.6784162328848947E-4</v>
      </c>
      <c r="I19">
        <f t="array" ref="I19">INDEX(MINVERSE($B$3:$M$14),2,8)</f>
        <v>4.3876549981534035E-4</v>
      </c>
      <c r="J19">
        <f t="array" ref="J19">INDEX(MINVERSE($B$3:$M$14),2,9)</f>
        <v>1.1386904718586687E-4</v>
      </c>
      <c r="K19">
        <f t="array" ref="K19">INDEX(MINVERSE($B$3:$M$14),2,10)</f>
        <v>7.6330004688137038E-4</v>
      </c>
      <c r="L19">
        <f t="array" ref="L19">INDEX(MINVERSE($B$3:$M$14),2,11)</f>
        <v>3.7291450506135977E-4</v>
      </c>
      <c r="M19">
        <f t="array" ref="M19">INDEX(MINVERSE($B$3:$M$14),2,12)</f>
        <v>3.7956280164750848E-4</v>
      </c>
    </row>
    <row r="20" spans="1:13" x14ac:dyDescent="0.25">
      <c r="A20" t="s">
        <v>71</v>
      </c>
      <c r="B20">
        <f t="array" ref="B20">INDEX(MINVERSE($B$3:$M$14),3,1)</f>
        <v>6.2763718000127616E-2</v>
      </c>
      <c r="C20">
        <f t="array" ref="C20">INDEX(MINVERSE($B$3:$M$14),3,2)</f>
        <v>5.9632480869842373E-2</v>
      </c>
      <c r="D20">
        <f t="array" ref="D20">INDEX(MINVERSE($B$3:$M$14),3,3)</f>
        <v>1.099613532097699</v>
      </c>
      <c r="E20">
        <f t="array" ref="E20">INDEX(MINVERSE($B$3:$M$14),3,4)</f>
        <v>3.3722449067137145E-2</v>
      </c>
      <c r="F20">
        <f t="array" ref="F20">INDEX(MINVERSE($B$3:$M$14),3,5)</f>
        <v>7.9626937964706462E-2</v>
      </c>
      <c r="G20">
        <f t="array" ref="G20">INDEX(MINVERSE($B$3:$M$14),3,6)</f>
        <v>2.3314249036687398E-2</v>
      </c>
      <c r="H20">
        <f t="array" ref="H20">INDEX(MINVERSE($B$3:$M$14),3,7)</f>
        <v>6.2271156054563272E-2</v>
      </c>
      <c r="I20">
        <f t="array" ref="I20">INDEX(MINVERSE($B$3:$M$14),3,8)</f>
        <v>1.6517609908167162E-2</v>
      </c>
      <c r="J20">
        <f t="array" ref="J20">INDEX(MINVERSE($B$3:$M$14),3,9)</f>
        <v>6.5562855779542255E-3</v>
      </c>
      <c r="K20">
        <f t="array" ref="K20">INDEX(MINVERSE($B$3:$M$14),3,10)</f>
        <v>3.2107861180860576E-3</v>
      </c>
      <c r="L20">
        <f t="array" ref="L20">INDEX(MINVERSE($B$3:$M$14),3,11)</f>
        <v>2.8719695311886007E-2</v>
      </c>
      <c r="M20">
        <f t="array" ref="M20">INDEX(MINVERSE($B$3:$M$14),3,12)</f>
        <v>1.3789495298081296E-2</v>
      </c>
    </row>
    <row r="21" spans="1:13" x14ac:dyDescent="0.25">
      <c r="A21" t="s">
        <v>72</v>
      </c>
      <c r="B21">
        <f t="array" ref="B21">INDEX(MINVERSE($B$3:$M$14),4,1)</f>
        <v>3.2947412776612381E-2</v>
      </c>
      <c r="C21">
        <f t="array" ref="C21">INDEX(MINVERSE($B$3:$M$14),4,2)</f>
        <v>5.6238820366492984E-2</v>
      </c>
      <c r="D21">
        <f t="array" ref="D21">INDEX(MINVERSE($B$3:$M$14),4,3)</f>
        <v>3.6529087300027366E-2</v>
      </c>
      <c r="E21">
        <f t="array" ref="E21">INDEX(MINVERSE($B$3:$M$14),4,4)</f>
        <v>1.4779402251475735</v>
      </c>
      <c r="F21">
        <f t="array" ref="F21">INDEX(MINVERSE($B$3:$M$14),4,5)</f>
        <v>1.0719055111640364E-2</v>
      </c>
      <c r="G21">
        <f t="array" ref="G21">INDEX(MINVERSE($B$3:$M$14),4,6)</f>
        <v>3.9024067046232382E-2</v>
      </c>
      <c r="H21">
        <f t="array" ref="H21">INDEX(MINVERSE($B$3:$M$14),4,7)</f>
        <v>2.0216124546871946E-2</v>
      </c>
      <c r="I21">
        <f t="array" ref="I21">INDEX(MINVERSE($B$3:$M$14),4,8)</f>
        <v>2.851914630647507E-2</v>
      </c>
      <c r="J21">
        <f t="array" ref="J21">INDEX(MINVERSE($B$3:$M$14),4,9)</f>
        <v>1.1920903604228282E-2</v>
      </c>
      <c r="K21">
        <f t="array" ref="K21">INDEX(MINVERSE($B$3:$M$14),4,10)</f>
        <v>3.0610396053516401E-3</v>
      </c>
      <c r="L21">
        <f t="array" ref="L21">INDEX(MINVERSE($B$3:$M$14),4,11)</f>
        <v>3.5098437413517064E-2</v>
      </c>
      <c r="M21">
        <f t="array" ref="M21">INDEX(MINVERSE($B$3:$M$14),4,12)</f>
        <v>2.8918668149170334E-2</v>
      </c>
    </row>
    <row r="22" spans="1:13" x14ac:dyDescent="0.25">
      <c r="A22" t="s">
        <v>73</v>
      </c>
      <c r="B22">
        <f t="array" ref="B22">INDEX(MINVERSE($B$3:$M$14),5,1)</f>
        <v>1.5677406293425136E-3</v>
      </c>
      <c r="C22">
        <f t="array" ref="C22">INDEX(MINVERSE($B$3:$M$14),5,2)</f>
        <v>1.8143672914663692E-3</v>
      </c>
      <c r="D22">
        <f t="array" ref="D22">INDEX(MINVERSE($B$3:$M$14),5,3)</f>
        <v>2.0162128306977166E-3</v>
      </c>
      <c r="E22">
        <f t="array" ref="E22">INDEX(MINVERSE($B$3:$M$14),5,4)</f>
        <v>3.0896642012482288E-2</v>
      </c>
      <c r="F22">
        <f t="array" ref="F22">INDEX(MINVERSE($B$3:$M$14),5,5)</f>
        <v>1.1309082028540742</v>
      </c>
      <c r="G22">
        <f t="array" ref="G22">INDEX(MINVERSE($B$3:$M$14),5,6)</f>
        <v>2.9511071725715409E-3</v>
      </c>
      <c r="H22">
        <f t="array" ref="H22">INDEX(MINVERSE($B$3:$M$14),5,7)</f>
        <v>4.773493849055164E-3</v>
      </c>
      <c r="I22">
        <f t="array" ref="I22">INDEX(MINVERSE($B$3:$M$14),5,8)</f>
        <v>2.8748614285517657E-2</v>
      </c>
      <c r="J22">
        <f t="array" ref="J22">INDEX(MINVERSE($B$3:$M$14),5,9)</f>
        <v>3.9151361180674851E-3</v>
      </c>
      <c r="K22">
        <f t="array" ref="K22">INDEX(MINVERSE($B$3:$M$14),5,10)</f>
        <v>2.9497430685389713E-3</v>
      </c>
      <c r="L22">
        <f t="array" ref="L22">INDEX(MINVERSE($B$3:$M$14),5,11)</f>
        <v>4.3872426320250143E-3</v>
      </c>
      <c r="M22">
        <f t="array" ref="M22">INDEX(MINVERSE($B$3:$M$14),5,12)</f>
        <v>2.0806510311171984E-2</v>
      </c>
    </row>
    <row r="23" spans="1:13" x14ac:dyDescent="0.25">
      <c r="A23" t="s">
        <v>74</v>
      </c>
      <c r="B23">
        <f t="array" ref="B23">INDEX(MINVERSE($B$3:$M$14),6,1)</f>
        <v>8.2673705418075075E-2</v>
      </c>
      <c r="C23">
        <f t="array" ref="C23">INDEX(MINVERSE($B$3:$M$14),6,2)</f>
        <v>7.6315505643322845E-2</v>
      </c>
      <c r="D23">
        <f t="array" ref="D23">INDEX(MINVERSE($B$3:$M$14),6,3)</f>
        <v>0.131302041009038</v>
      </c>
      <c r="E23">
        <f t="array" ref="E23">INDEX(MINVERSE($B$3:$M$14),6,4)</f>
        <v>3.8994838182645389E-2</v>
      </c>
      <c r="F23">
        <f t="array" ref="F23">INDEX(MINVERSE($B$3:$M$14),6,5)</f>
        <v>0.10175633788978473</v>
      </c>
      <c r="G23">
        <f t="array" ref="G23">INDEX(MINVERSE($B$3:$M$14),6,6)</f>
        <v>1.0204009322661787</v>
      </c>
      <c r="H23">
        <f t="array" ref="H23">INDEX(MINVERSE($B$3:$M$14),6,7)</f>
        <v>5.3718907895348174E-2</v>
      </c>
      <c r="I23">
        <f t="array" ref="I23">INDEX(MINVERSE($B$3:$M$14),6,8)</f>
        <v>5.0719230522322592E-3</v>
      </c>
      <c r="J23">
        <f t="array" ref="J23">INDEX(MINVERSE($B$3:$M$14),6,9)</f>
        <v>9.6728460308493983E-3</v>
      </c>
      <c r="K23">
        <f t="array" ref="K23">INDEX(MINVERSE($B$3:$M$14),6,10)</f>
        <v>4.2422691459421281E-3</v>
      </c>
      <c r="L23">
        <f t="array" ref="L23">INDEX(MINVERSE($B$3:$M$14),6,11)</f>
        <v>3.6027019268076617E-2</v>
      </c>
      <c r="M23">
        <f t="array" ref="M23">INDEX(MINVERSE($B$3:$M$14),6,12)</f>
        <v>1.4748054874404079E-2</v>
      </c>
    </row>
    <row r="24" spans="1:13" x14ac:dyDescent="0.25">
      <c r="A24" t="s">
        <v>75</v>
      </c>
      <c r="B24">
        <f t="array" ref="B24">INDEX(MINVERSE($B$3:$M$14),7,1)</f>
        <v>2.1718980222685379E-2</v>
      </c>
      <c r="C24">
        <f t="array" ref="C24">INDEX(MINVERSE($B$3:$M$14),7,2)</f>
        <v>3.5268639517220236E-2</v>
      </c>
      <c r="D24">
        <f t="array" ref="D24">INDEX(MINVERSE($B$3:$M$14),7,3)</f>
        <v>5.9490275453204386E-2</v>
      </c>
      <c r="E24">
        <f t="array" ref="E24">INDEX(MINVERSE($B$3:$M$14),7,4)</f>
        <v>1.2951351152498606E-2</v>
      </c>
      <c r="F24">
        <f t="array" ref="F24">INDEX(MINVERSE($B$3:$M$14),7,5)</f>
        <v>2.0553707717214584E-2</v>
      </c>
      <c r="G24">
        <f t="array" ref="G24">INDEX(MINVERSE($B$3:$M$14),7,6)</f>
        <v>4.0114947188820721E-2</v>
      </c>
      <c r="H24">
        <f t="array" ref="H24">INDEX(MINVERSE($B$3:$M$14),7,7)</f>
        <v>1.0937590460655116</v>
      </c>
      <c r="I24">
        <f t="array" ref="I24">INDEX(MINVERSE($B$3:$M$14),7,8)</f>
        <v>1.2080080162717843E-2</v>
      </c>
      <c r="J24">
        <f t="array" ref="J24">INDEX(MINVERSE($B$3:$M$14),7,9)</f>
        <v>1.2283005173366295E-2</v>
      </c>
      <c r="K24">
        <f t="array" ref="K24">INDEX(MINVERSE($B$3:$M$14),7,10)</f>
        <v>1.3697370711847992E-3</v>
      </c>
      <c r="L24">
        <f t="array" ref="L24">INDEX(MINVERSE($B$3:$M$14),7,11)</f>
        <v>1.6348615562554937E-2</v>
      </c>
      <c r="M24">
        <f t="array" ref="M24">INDEX(MINVERSE($B$3:$M$14),7,12)</f>
        <v>1.1318766401622091E-2</v>
      </c>
    </row>
    <row r="25" spans="1:13" x14ac:dyDescent="0.25">
      <c r="A25" t="s">
        <v>76</v>
      </c>
      <c r="B25">
        <f t="array" ref="B25">INDEX(MINVERSE($B$3:$M$14),8,1)</f>
        <v>2.3466121672209178E-3</v>
      </c>
      <c r="C25">
        <f t="array" ref="C25">INDEX(MINVERSE($B$3:$M$14),8,2)</f>
        <v>4.2070069652046646E-3</v>
      </c>
      <c r="D25">
        <f t="array" ref="D25">INDEX(MINVERSE($B$3:$M$14),8,3)</f>
        <v>8.7880286001226875E-3</v>
      </c>
      <c r="E25">
        <f t="array" ref="E25">INDEX(MINVERSE($B$3:$M$14),8,4)</f>
        <v>1.3994408609126062E-2</v>
      </c>
      <c r="F25">
        <f t="array" ref="F25">INDEX(MINVERSE($B$3:$M$14),8,5)</f>
        <v>5.2969711703783756E-3</v>
      </c>
      <c r="G25">
        <f t="array" ref="G25">INDEX(MINVERSE($B$3:$M$14),8,6)</f>
        <v>1.4419960379500019E-2</v>
      </c>
      <c r="H25">
        <f t="array" ref="H25">INDEX(MINVERSE($B$3:$M$14),8,7)</f>
        <v>1.2457810689519098E-2</v>
      </c>
      <c r="I25">
        <f t="array" ref="I25">INDEX(MINVERSE($B$3:$M$14),8,8)</f>
        <v>1.1366476155374949</v>
      </c>
      <c r="J25">
        <f t="array" ref="J25">INDEX(MINVERSE($B$3:$M$14),8,9)</f>
        <v>3.7754592905897284E-2</v>
      </c>
      <c r="K25">
        <f t="array" ref="K25">INDEX(MINVERSE($B$3:$M$14),8,10)</f>
        <v>1.8834259333109094E-3</v>
      </c>
      <c r="L25">
        <f t="array" ref="L25">INDEX(MINVERSE($B$3:$M$14),8,11)</f>
        <v>1.8645176862144074E-2</v>
      </c>
      <c r="M25">
        <f t="array" ref="M25">INDEX(MINVERSE($B$3:$M$14),8,12)</f>
        <v>1.7447296000729043E-2</v>
      </c>
    </row>
    <row r="26" spans="1:13" x14ac:dyDescent="0.25">
      <c r="A26" t="s">
        <v>77</v>
      </c>
      <c r="B26">
        <f t="array" ref="B26">INDEX(MINVERSE($B$3:$M$14),9,1)</f>
        <v>9.486389935828338E-3</v>
      </c>
      <c r="C26">
        <f t="array" ref="C26">INDEX(MINVERSE($B$3:$M$14),9,2)</f>
        <v>1.7175314872917784E-2</v>
      </c>
      <c r="D26">
        <f t="array" ref="D26">INDEX(MINVERSE($B$3:$M$14),9,3)</f>
        <v>1.4438059752408708E-2</v>
      </c>
      <c r="E26">
        <f t="array" ref="E26">INDEX(MINVERSE($B$3:$M$14),9,4)</f>
        <v>2.1129063133964232E-2</v>
      </c>
      <c r="F26">
        <f t="array" ref="F26">INDEX(MINVERSE($B$3:$M$14),9,5)</f>
        <v>1.0575759981885199E-2</v>
      </c>
      <c r="G26">
        <f t="array" ref="G26">INDEX(MINVERSE($B$3:$M$14),9,6)</f>
        <v>1.3140289167842541E-2</v>
      </c>
      <c r="H26">
        <f t="array" ref="H26">INDEX(MINVERSE($B$3:$M$14),9,7)</f>
        <v>1.4422931600501857E-2</v>
      </c>
      <c r="I26">
        <f t="array" ref="I26">INDEX(MINVERSE($B$3:$M$14),9,8)</f>
        <v>2.3585918045136427E-2</v>
      </c>
      <c r="J26">
        <f t="array" ref="J26">INDEX(MINVERSE($B$3:$M$14),9,9)</f>
        <v>1.0644717431243778</v>
      </c>
      <c r="K26">
        <f t="array" ref="K26">INDEX(MINVERSE($B$3:$M$14),9,10)</f>
        <v>1.5529703536679538E-2</v>
      </c>
      <c r="L26">
        <f t="array" ref="L26">INDEX(MINVERSE($B$3:$M$14),9,11)</f>
        <v>9.0560169616603538E-3</v>
      </c>
      <c r="M26">
        <f t="array" ref="M26">INDEX(MINVERSE($B$3:$M$14),9,12)</f>
        <v>1.5503984858952369E-2</v>
      </c>
    </row>
    <row r="27" spans="1:13" x14ac:dyDescent="0.25">
      <c r="A27" t="s">
        <v>78</v>
      </c>
      <c r="B27">
        <f t="array" ref="B27">INDEX(MINVERSE($B$3:$M$14),10,1)</f>
        <v>3.8648642211493258E-3</v>
      </c>
      <c r="C27">
        <f t="array" ref="C27">INDEX(MINVERSE($B$3:$M$14),10,2)</f>
        <v>6.7002098229290855E-3</v>
      </c>
      <c r="D27">
        <f t="array" ref="D27">INDEX(MINVERSE($B$3:$M$14),10,3)</f>
        <v>9.4903174109669877E-3</v>
      </c>
      <c r="E27">
        <f t="array" ref="E27">INDEX(MINVERSE($B$3:$M$14),10,4)</f>
        <v>1.1024006489467055E-2</v>
      </c>
      <c r="F27">
        <f t="array" ref="F27">INDEX(MINVERSE($B$3:$M$14),10,5)</f>
        <v>7.2652369264980584E-3</v>
      </c>
      <c r="G27">
        <f t="array" ref="G27">INDEX(MINVERSE($B$3:$M$14),10,6)</f>
        <v>3.6873124533893735E-2</v>
      </c>
      <c r="H27">
        <f t="array" ref="H27">INDEX(MINVERSE($B$3:$M$14),10,7)</f>
        <v>2.0304105364073437E-2</v>
      </c>
      <c r="I27">
        <f t="array" ref="I27">INDEX(MINVERSE($B$3:$M$14),10,8)</f>
        <v>2.1412991982692014E-2</v>
      </c>
      <c r="J27">
        <f t="array" ref="J27">INDEX(MINVERSE($B$3:$M$14),10,9)</f>
        <v>1.1990486352855212E-2</v>
      </c>
      <c r="K27">
        <f t="array" ref="K27">INDEX(MINVERSE($B$3:$M$14),10,10)</f>
        <v>1.0033258360848729</v>
      </c>
      <c r="L27">
        <f t="array" ref="L27">INDEX(MINVERSE($B$3:$M$14),10,11)</f>
        <v>2.1326470544675406E-2</v>
      </c>
      <c r="M27">
        <f t="array" ref="M27">INDEX(MINVERSE($B$3:$M$14),10,12)</f>
        <v>4.8046604872320035E-3</v>
      </c>
    </row>
    <row r="28" spans="1:13" x14ac:dyDescent="0.25">
      <c r="A28" t="s">
        <v>79</v>
      </c>
      <c r="B28">
        <f t="array" ref="B28">INDEX(MINVERSE($B$3:$M$14),11,1)</f>
        <v>1.5264459205132138E-2</v>
      </c>
      <c r="C28">
        <f t="array" ref="C28">INDEX(MINVERSE($B$3:$M$14),11,2)</f>
        <v>5.2540326393798846E-2</v>
      </c>
      <c r="D28">
        <f t="array" ref="D28">INDEX(MINVERSE($B$3:$M$14),11,3)</f>
        <v>5.6832556538878982E-2</v>
      </c>
      <c r="E28">
        <f t="array" ref="E28">INDEX(MINVERSE($B$3:$M$14),11,4)</f>
        <v>7.5885572040216523E-2</v>
      </c>
      <c r="F28">
        <f t="array" ref="F28">INDEX(MINVERSE($B$3:$M$14),11,5)</f>
        <v>3.627275567274961E-2</v>
      </c>
      <c r="G28">
        <f t="array" ref="G28">INDEX(MINVERSE($B$3:$M$14),11,6)</f>
        <v>7.455151002707297E-2</v>
      </c>
      <c r="H28">
        <f t="array" ref="H28">INDEX(MINVERSE($B$3:$M$14),11,7)</f>
        <v>5.9443048586802778E-2</v>
      </c>
      <c r="I28">
        <f t="array" ref="I28">INDEX(MINVERSE($B$3:$M$14),11,8)</f>
        <v>0.17292718825898654</v>
      </c>
      <c r="J28">
        <f t="array" ref="J28">INDEX(MINVERSE($B$3:$M$14),11,9)</f>
        <v>8.4576848484071737E-2</v>
      </c>
      <c r="K28">
        <f t="array" ref="K28">INDEX(MINVERSE($B$3:$M$14),11,10)</f>
        <v>7.7376411520582297E-3</v>
      </c>
      <c r="L28">
        <f t="array" ref="L28">INDEX(MINVERSE($B$3:$M$14),11,11)</f>
        <v>1.0709433230241669</v>
      </c>
      <c r="M28">
        <f t="array" ref="M28">INDEX(MINVERSE($B$3:$M$14),11,12)</f>
        <v>6.006120978200697E-2</v>
      </c>
    </row>
    <row r="29" spans="1:13" x14ac:dyDescent="0.25">
      <c r="A29" t="s">
        <v>80</v>
      </c>
      <c r="B29">
        <f t="array" ref="B29">INDEX(MINVERSE($B$3:$M$14),12,1)</f>
        <v>7.9282783423347361E-4</v>
      </c>
      <c r="C29">
        <f t="array" ref="C29">INDEX(MINVERSE($B$3:$M$14),12,2)</f>
        <v>2.0225598269775756E-3</v>
      </c>
      <c r="D29">
        <f t="array" ref="D29">INDEX(MINVERSE($B$3:$M$14),12,3)</f>
        <v>2.5481867060234099E-3</v>
      </c>
      <c r="E29">
        <f t="array" ref="E29">INDEX(MINVERSE($B$3:$M$14),12,4)</f>
        <v>3.343118137836425E-3</v>
      </c>
      <c r="F29">
        <f t="array" ref="F29">INDEX(MINVERSE($B$3:$M$14),12,5)</f>
        <v>1.3515513376913676E-3</v>
      </c>
      <c r="G29">
        <f t="array" ref="G29">INDEX(MINVERSE($B$3:$M$14),12,6)</f>
        <v>2.7296622662475655E-3</v>
      </c>
      <c r="H29">
        <f t="array" ref="H29">INDEX(MINVERSE($B$3:$M$14),12,7)</f>
        <v>2.6491463726270831E-3</v>
      </c>
      <c r="I29">
        <f t="array" ref="I29">INDEX(MINVERSE($B$3:$M$14),12,8)</f>
        <v>5.6334891514687561E-3</v>
      </c>
      <c r="J29">
        <f t="array" ref="J29">INDEX(MINVERSE($B$3:$M$14),12,9)</f>
        <v>2.7531917279792679E-3</v>
      </c>
      <c r="K29">
        <f t="array" ref="K29">INDEX(MINVERSE($B$3:$M$14),12,10)</f>
        <v>2.5978805759950747E-4</v>
      </c>
      <c r="L29">
        <f t="array" ref="L29">INDEX(MINVERSE($B$3:$M$14),12,11)</f>
        <v>2.4198251672260898E-3</v>
      </c>
      <c r="M29">
        <f t="array" ref="M29">INDEX(MINVERSE($B$3:$M$14),12,12)</f>
        <v>1.0019985231421704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6"/>
  <sheetViews>
    <sheetView workbookViewId="0"/>
  </sheetViews>
  <sheetFormatPr defaultColWidth="11.42578125" defaultRowHeight="15" x14ac:dyDescent="0.25"/>
  <cols>
    <col min="1" max="1" width="32.7109375" customWidth="1"/>
    <col min="2" max="24" width="16.7109375" customWidth="1"/>
  </cols>
  <sheetData>
    <row r="1" spans="1:20" ht="15.75" x14ac:dyDescent="0.25">
      <c r="A1" s="1" t="s">
        <v>173</v>
      </c>
    </row>
    <row r="2" spans="1:20" ht="90" x14ac:dyDescent="0.25">
      <c r="A2" s="2" t="s">
        <v>174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92</v>
      </c>
      <c r="O2" s="2" t="s">
        <v>93</v>
      </c>
      <c r="P2" s="2" t="s">
        <v>95</v>
      </c>
      <c r="Q2" s="2" t="s">
        <v>96</v>
      </c>
      <c r="R2" s="2" t="s">
        <v>97</v>
      </c>
      <c r="S2" s="2" t="s">
        <v>98</v>
      </c>
      <c r="T2" s="2" t="s">
        <v>99</v>
      </c>
    </row>
    <row r="3" spans="1:20" x14ac:dyDescent="0.25">
      <c r="A3" t="s">
        <v>83</v>
      </c>
      <c r="B3">
        <f>SUM('09_M_importacoes'!$B$33:$B$44)</f>
        <v>1217.1686051421341</v>
      </c>
      <c r="C3">
        <f>SUM('09_M_importacoes'!$C$33:$C$44)</f>
        <v>36.964634511117488</v>
      </c>
      <c r="D3">
        <f>SUM('09_M_importacoes'!$D$33:$D$44)</f>
        <v>2352.3301114927649</v>
      </c>
      <c r="E3">
        <f>SUM('09_M_importacoes'!$E$33:$E$44)</f>
        <v>384.66612921456641</v>
      </c>
      <c r="F3">
        <f>SUM('09_M_importacoes'!$F$33:$F$44)</f>
        <v>1072.4371140588146</v>
      </c>
      <c r="G3">
        <f>SUM('09_M_importacoes'!$G$33:$G$44)</f>
        <v>1153.3301143922486</v>
      </c>
      <c r="H3">
        <f>SUM('09_M_importacoes'!$H$33:$H$44)</f>
        <v>630.34363800116614</v>
      </c>
      <c r="I3">
        <f>SUM('09_M_importacoes'!$I$33:$I$44)</f>
        <v>255.68413665479261</v>
      </c>
      <c r="J3">
        <f>SUM('09_M_importacoes'!$J$33:$J$44)</f>
        <v>311.54952923192917</v>
      </c>
      <c r="K3">
        <f>SUM('09_M_importacoes'!$K$33:$K$44)</f>
        <v>121.26242581455587</v>
      </c>
      <c r="L3">
        <f>SUM('09_M_importacoes'!$L$33:$L$44)</f>
        <v>988.35200382484868</v>
      </c>
      <c r="M3">
        <f>SUM('09_M_importacoes'!$M$33:$M$44)</f>
        <v>1497.2486903935164</v>
      </c>
      <c r="N3">
        <f>SUM('09_M_importacoes'!$N$33:$N$44)</f>
        <v>0</v>
      </c>
      <c r="O3">
        <f>SUM('09_M_importacoes'!$O$33:$O$44)</f>
        <v>2515.4705459486277</v>
      </c>
      <c r="P3">
        <f>SUM('09_M_importacoes'!$P$33:$P$44)</f>
        <v>632.99352222820858</v>
      </c>
      <c r="Q3">
        <f>SUM('09_M_importacoes'!$Q$33:$Q$44)</f>
        <v>17088.988226601461</v>
      </c>
      <c r="R3">
        <f>SUM('09_M_importacoes'!$R$33:$R$44)</f>
        <v>126.97976288468372</v>
      </c>
      <c r="S3">
        <f>SUM('09_M_importacoes'!$S$33:$S$44)</f>
        <v>1260.9429409502834</v>
      </c>
      <c r="T3">
        <f>SUM('09_M_importacoes'!$T$33:$T$44)</f>
        <v>1076.909514683203</v>
      </c>
    </row>
    <row r="4" spans="1:20" x14ac:dyDescent="0.25">
      <c r="A4" t="s">
        <v>82</v>
      </c>
      <c r="B4">
        <f>SUM('09_M_importacoes'!$B$48:$B$59)</f>
        <v>210.34251114309276</v>
      </c>
      <c r="C4">
        <f>SUM('09_M_importacoes'!$C$48:$C$59)</f>
        <v>6.7737419798220655</v>
      </c>
      <c r="D4">
        <f>SUM('09_M_importacoes'!$D$48:$D$59)</f>
        <v>396.69609481647109</v>
      </c>
      <c r="E4">
        <f>SUM('09_M_importacoes'!$E$48:$E$59)</f>
        <v>73.771952921828216</v>
      </c>
      <c r="F4">
        <f>SUM('09_M_importacoes'!$F$48:$F$59)</f>
        <v>196.86778338376595</v>
      </c>
      <c r="G4">
        <f>SUM('09_M_importacoes'!$G$48:$G$59)</f>
        <v>169.85403171741874</v>
      </c>
      <c r="H4">
        <f>SUM('09_M_importacoes'!$H$48:$H$59)</f>
        <v>88.700133759143924</v>
      </c>
      <c r="I4">
        <f>SUM('09_M_importacoes'!$I$48:$I$59)</f>
        <v>39.839272130774233</v>
      </c>
      <c r="J4">
        <f>SUM('09_M_importacoes'!$J$48:$J$59)</f>
        <v>34.522889751943723</v>
      </c>
      <c r="K4">
        <f>SUM('09_M_importacoes'!$K$48:$K$59)</f>
        <v>12.199042497611092</v>
      </c>
      <c r="L4">
        <f>SUM('09_M_importacoes'!$L$48:$L$59)</f>
        <v>174.45276937380103</v>
      </c>
      <c r="M4">
        <f>SUM('09_M_importacoes'!$M$48:$M$59)</f>
        <v>222.65303295085013</v>
      </c>
      <c r="N4">
        <f>SUM('09_M_importacoes'!$N$48:$N$59)</f>
        <v>0</v>
      </c>
      <c r="O4">
        <f>SUM('09_M_importacoes'!$O$48:$O$59)</f>
        <v>471.01527090923554</v>
      </c>
      <c r="P4">
        <f>SUM('09_M_importacoes'!$P$48:$P$59)</f>
        <v>41.047708477690882</v>
      </c>
      <c r="Q4">
        <f>SUM('09_M_importacoes'!$Q$48:$Q$59)</f>
        <v>2682.7212444264228</v>
      </c>
      <c r="R4">
        <f>SUM('09_M_importacoes'!$R$48:$R$59)</f>
        <v>25.912550166024058</v>
      </c>
      <c r="S4">
        <f>SUM('09_M_importacoes'!$S$48:$S$59)</f>
        <v>226.90798251756453</v>
      </c>
      <c r="T4">
        <f>SUM('09_M_importacoes'!$T$48:$T$59)</f>
        <v>200.46978319205834</v>
      </c>
    </row>
    <row r="5" spans="1:20" x14ac:dyDescent="0.25">
      <c r="A5" t="s">
        <v>84</v>
      </c>
      <c r="B5">
        <f>SUM('09_M_importacoes'!$B$63:$B$74)</f>
        <v>1427.5111162852272</v>
      </c>
      <c r="C5">
        <f>SUM('09_M_importacoes'!$C$63:$C$74)</f>
        <v>43.738376490939551</v>
      </c>
      <c r="D5">
        <f>SUM('09_M_importacoes'!$D$63:$D$74)</f>
        <v>2749.0262063092359</v>
      </c>
      <c r="E5">
        <f>SUM('09_M_importacoes'!$E$63:$E$74)</f>
        <v>458.43808213639454</v>
      </c>
      <c r="F5">
        <f>SUM('09_M_importacoes'!$F$63:$F$74)</f>
        <v>1269.3048974425806</v>
      </c>
      <c r="G5">
        <f>SUM('09_M_importacoes'!$G$63:$G$74)</f>
        <v>1323.1841461096674</v>
      </c>
      <c r="H5">
        <f>SUM('09_M_importacoes'!$H$63:$H$74)</f>
        <v>719.04377176031016</v>
      </c>
      <c r="I5">
        <f>SUM('09_M_importacoes'!$I$63:$I$74)</f>
        <v>295.52340878556686</v>
      </c>
      <c r="J5">
        <f>SUM('09_M_importacoes'!$J$63:$J$74)</f>
        <v>346.07241898387292</v>
      </c>
      <c r="K5">
        <f>SUM('09_M_importacoes'!$K$63:$K$74)</f>
        <v>133.46146831216697</v>
      </c>
      <c r="L5">
        <f>SUM('09_M_importacoes'!$L$63:$L$74)</f>
        <v>1162.8047731986499</v>
      </c>
      <c r="M5">
        <f>SUM('09_M_importacoes'!$M$63:$M$74)</f>
        <v>1719.9017233443665</v>
      </c>
      <c r="N5">
        <f>SUM('09_M_importacoes'!$N$63:$N$74)</f>
        <v>0</v>
      </c>
      <c r="O5">
        <f>SUM('09_M_importacoes'!$O$63:$O$74)</f>
        <v>2986.4858168578626</v>
      </c>
      <c r="P5">
        <f>SUM('09_M_importacoes'!$P$63:$P$74)</f>
        <v>674.04123070589947</v>
      </c>
      <c r="Q5">
        <f>SUM('09_M_importacoes'!$Q$63:$Q$74)</f>
        <v>19771.709471027883</v>
      </c>
      <c r="R5">
        <f>SUM('09_M_importacoes'!$R$63:$R$74)</f>
        <v>152.89231305070777</v>
      </c>
      <c r="S5">
        <f>SUM('09_M_importacoes'!$S$63:$S$74)</f>
        <v>1487.8509234678481</v>
      </c>
      <c r="T5">
        <f>SUM('09_M_importacoes'!$T$63:$T$74)</f>
        <v>1277.3792978752613</v>
      </c>
    </row>
    <row r="6" spans="1:20" x14ac:dyDescent="0.25">
      <c r="A6" t="s">
        <v>175</v>
      </c>
      <c r="B6">
        <f>SUM('08_M_impostos'!$B$33:$B$44)</f>
        <v>229.22049461690685</v>
      </c>
      <c r="C6">
        <f>SUM('08_M_impostos'!$C$33:$C$44)</f>
        <v>6.9687212621342702</v>
      </c>
      <c r="D6">
        <f>SUM('08_M_impostos'!$D$33:$D$44)</f>
        <v>397.70294866879948</v>
      </c>
      <c r="E6">
        <f>SUM('08_M_impostos'!$E$33:$E$44)</f>
        <v>202.58084658997043</v>
      </c>
      <c r="F6">
        <f>SUM('08_M_impostos'!$F$33:$F$44)</f>
        <v>204.55318180035815</v>
      </c>
      <c r="G6">
        <f>SUM('08_M_impostos'!$G$33:$G$44)</f>
        <v>188.59572747798555</v>
      </c>
      <c r="H6">
        <f>SUM('08_M_impostos'!$H$33:$H$44)</f>
        <v>96.365733625446595</v>
      </c>
      <c r="I6">
        <f>SUM('08_M_impostos'!$I$33:$I$44)</f>
        <v>50.179529686056412</v>
      </c>
      <c r="J6">
        <f>SUM('08_M_impostos'!$J$33:$J$44)</f>
        <v>40.157923240213478</v>
      </c>
      <c r="K6">
        <f>SUM('08_M_impostos'!$K$33:$K$44)</f>
        <v>13.768451834407507</v>
      </c>
      <c r="L6">
        <f>SUM('08_M_impostos'!$L$33:$L$44)</f>
        <v>189.18371805111639</v>
      </c>
      <c r="M6">
        <f>SUM('08_M_impostos'!$M$33:$M$44)</f>
        <v>261.40284070682935</v>
      </c>
      <c r="N6">
        <f>SUM('08_M_impostos'!$N$33:$N$44)</f>
        <v>0</v>
      </c>
      <c r="O6">
        <f>SUM('08_M_impostos'!$O$33:$O$44)</f>
        <v>518.3998828167654</v>
      </c>
      <c r="P6">
        <f>SUM('08_M_impostos'!$P$33:$P$44)</f>
        <v>27.925597745611704</v>
      </c>
      <c r="Q6">
        <f>SUM('08_M_impostos'!$Q$33:$Q$44)</f>
        <v>2707.4528653509497</v>
      </c>
      <c r="R6">
        <f>SUM('08_M_impostos'!$R$33:$R$44)</f>
        <v>14.912540018589208</v>
      </c>
      <c r="S6">
        <f>SUM('08_M_impostos'!$S$33:$S$44)</f>
        <v>338.25666641304906</v>
      </c>
      <c r="T6">
        <f>SUM('08_M_impostos'!$T$33:$T$44)</f>
        <v>196.38791325914988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6"/>
  <sheetViews>
    <sheetView workbookViewId="0"/>
  </sheetViews>
  <sheetFormatPr defaultColWidth="11.42578125" defaultRowHeight="15" x14ac:dyDescent="0.25"/>
  <cols>
    <col min="1" max="1" width="54.7109375" customWidth="1"/>
    <col min="2" max="2" width="20.7109375" customWidth="1"/>
  </cols>
  <sheetData>
    <row r="1" spans="1:2" ht="15.75" x14ac:dyDescent="0.25">
      <c r="A1" s="1" t="s">
        <v>176</v>
      </c>
    </row>
    <row r="2" spans="1:2" x14ac:dyDescent="0.25">
      <c r="A2" s="2" t="s">
        <v>177</v>
      </c>
      <c r="B2" s="2" t="s">
        <v>113</v>
      </c>
    </row>
    <row r="3" spans="1:2" x14ac:dyDescent="0.25">
      <c r="A3" t="s">
        <v>178</v>
      </c>
      <c r="B3">
        <f t="array" ref="B3">MAX(ABS('15_Z'!$B$3:$M$14-MMULT('11_D'!$B$3:$M$14,'10_Usos_basicos'!$B$18:$M$29)))</f>
        <v>3.4106051316484809E-13</v>
      </c>
    </row>
    <row r="4" spans="1:2" x14ac:dyDescent="0.25">
      <c r="A4" t="s">
        <v>179</v>
      </c>
      <c r="B4">
        <f t="array" ref="B4">MAX(ABS('16_Y'!$B$3:$H$14-MMULT('11_D'!$B$3:$M$14,'10_Usos_basicos'!$N$18:$T$29)))</f>
        <v>0</v>
      </c>
    </row>
    <row r="5" spans="1:2" x14ac:dyDescent="0.25">
      <c r="A5" t="s">
        <v>180</v>
      </c>
      <c r="B5">
        <f t="array" ref="B5">MAX(ABS('12_X'!$B$2:$B$13-'15_Z'!$N$3:$N$14-'16_Y'!$I$3:$I$14))</f>
        <v>0.23306901379464762</v>
      </c>
    </row>
    <row r="6" spans="1:2" x14ac:dyDescent="0.25">
      <c r="A6" t="s">
        <v>181</v>
      </c>
      <c r="B6">
        <f t="array" ref="B6">MAX(ABS('10_Usos_basicos'!$U$18:$U$29-'10_Usos_basicos'!$V$18:$V$29))</f>
        <v>0.23582886239228174</v>
      </c>
    </row>
    <row r="7" spans="1:2" x14ac:dyDescent="0.25">
      <c r="A7" t="s">
        <v>182</v>
      </c>
      <c r="B7">
        <f t="array" ref="B7">MAX(ABS('03_VA'!$B$2:$M$2-('01_Recursos'!$B$15:$M$15-'02_Usos'!$B$15:$M$15)))</f>
        <v>1.2732925824820995E-11</v>
      </c>
    </row>
    <row r="9" spans="1:2" x14ac:dyDescent="0.25">
      <c r="A9" s="3" t="s">
        <v>183</v>
      </c>
      <c r="B9">
        <f>'10_Usos_basicos'!$B$32</f>
        <v>1</v>
      </c>
    </row>
    <row r="10" spans="1:2" x14ac:dyDescent="0.25">
      <c r="A10" s="3" t="s">
        <v>184</v>
      </c>
      <c r="B10">
        <f>SUM('15_Z'!$B$3:$M$14)</f>
        <v>17212.251336606787</v>
      </c>
    </row>
    <row r="11" spans="1:2" x14ac:dyDescent="0.25">
      <c r="A11" s="3" t="s">
        <v>185</v>
      </c>
      <c r="B11">
        <f>'03_VA'!$B$7</f>
        <v>50378.417549896345</v>
      </c>
    </row>
    <row r="13" spans="1:2" x14ac:dyDescent="0.25">
      <c r="A13" t="s">
        <v>43</v>
      </c>
    </row>
    <row r="14" spans="1:2" x14ac:dyDescent="0.25">
      <c r="A14" t="s">
        <v>186</v>
      </c>
    </row>
    <row r="15" spans="1:2" x14ac:dyDescent="0.25">
      <c r="A15" t="s">
        <v>187</v>
      </c>
    </row>
    <row r="16" spans="1:2" x14ac:dyDescent="0.25">
      <c r="A16" t="s">
        <v>188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2"/>
  <sheetViews>
    <sheetView workbookViewId="0"/>
  </sheetViews>
  <sheetFormatPr defaultColWidth="11.42578125" defaultRowHeight="15" x14ac:dyDescent="0.25"/>
  <sheetData>
    <row r="1" spans="1:12" x14ac:dyDescent="0.25">
      <c r="A1">
        <f>'15_Z'!$B$3</f>
        <v>260.29191286379182</v>
      </c>
      <c r="B1">
        <f>'15_Z'!$C$3</f>
        <v>0.28323142867751072</v>
      </c>
      <c r="C1">
        <f>'15_Z'!$D$3</f>
        <v>1199.7568844653356</v>
      </c>
      <c r="D1">
        <f>'15_Z'!$E$3</f>
        <v>2.9436703866660419</v>
      </c>
      <c r="E1">
        <f>'15_Z'!$F$3</f>
        <v>24.774086078464343</v>
      </c>
      <c r="F1">
        <f>'15_Z'!$G$3</f>
        <v>51.709724865297247</v>
      </c>
      <c r="G1">
        <f>'15_Z'!$H$3</f>
        <v>3.4061316822516918</v>
      </c>
      <c r="H1">
        <f>'15_Z'!$I$3</f>
        <v>0.68371867587538371</v>
      </c>
      <c r="I1">
        <f>'15_Z'!$J$3</f>
        <v>0.20324051586816272</v>
      </c>
      <c r="J1">
        <f>'15_Z'!$K$3</f>
        <v>0.37757537334673735</v>
      </c>
      <c r="K1">
        <f>'15_Z'!$L$3</f>
        <v>56.047826767618467</v>
      </c>
      <c r="L1">
        <f>'15_Z'!$M$3</f>
        <v>42.096146196282596</v>
      </c>
    </row>
    <row r="2" spans="1:12" x14ac:dyDescent="0.25">
      <c r="A2">
        <f>'15_Z'!$B$4</f>
        <v>4.4587913236159817</v>
      </c>
      <c r="B2">
        <f>'15_Z'!$C$4</f>
        <v>2.3695330448117438</v>
      </c>
      <c r="C2">
        <f>'15_Z'!$D$4</f>
        <v>71.372568834251055</v>
      </c>
      <c r="D2">
        <f>'15_Z'!$E$4</f>
        <v>1.9524495062596294</v>
      </c>
      <c r="E2">
        <f>'15_Z'!$F$4</f>
        <v>48.374951748234743</v>
      </c>
      <c r="F2">
        <f>'15_Z'!$G$4</f>
        <v>0.39549708618298612</v>
      </c>
      <c r="G2">
        <f>'15_Z'!$H$4</f>
        <v>9.4681502073224455E-2</v>
      </c>
      <c r="H2">
        <f>'15_Z'!$I$4</f>
        <v>9.1407772257393119E-3</v>
      </c>
      <c r="I2">
        <f>'15_Z'!$J$4</f>
        <v>5.6840032507447557E-3</v>
      </c>
      <c r="J2">
        <f>'15_Z'!$K$4</f>
        <v>2.8073134730934215</v>
      </c>
      <c r="K2">
        <f>'15_Z'!$L$4</f>
        <v>0.35170779876820529</v>
      </c>
      <c r="L2">
        <f>'15_Z'!$M$4</f>
        <v>1.0734055072735533</v>
      </c>
    </row>
    <row r="3" spans="1:12" x14ac:dyDescent="0.25">
      <c r="A3">
        <f>'15_Z'!$B$5</f>
        <v>396.64551578780316</v>
      </c>
      <c r="B3">
        <f>'15_Z'!$C$5</f>
        <v>10.230581956800918</v>
      </c>
      <c r="C3">
        <f>'15_Z'!$D$5</f>
        <v>615.94843038701049</v>
      </c>
      <c r="D3">
        <f>'15_Z'!$E$5</f>
        <v>71.266085570392178</v>
      </c>
      <c r="E3">
        <f>'15_Z'!$F$5</f>
        <v>345.39682623897988</v>
      </c>
      <c r="F3">
        <f>'15_Z'!$G$5</f>
        <v>159.18601970638701</v>
      </c>
      <c r="G3">
        <f>'15_Z'!$H$5</f>
        <v>130.83012337756577</v>
      </c>
      <c r="H3">
        <f>'15_Z'!$I$5</f>
        <v>10.688615440737948</v>
      </c>
      <c r="I3">
        <f>'15_Z'!$J$5</f>
        <v>5.702449577226079</v>
      </c>
      <c r="J3">
        <f>'15_Z'!$K$5</f>
        <v>9.2568079568197241</v>
      </c>
      <c r="K3">
        <f>'15_Z'!$L$5</f>
        <v>209.20768370317762</v>
      </c>
      <c r="L3">
        <f>'15_Z'!$M$5</f>
        <v>165.25224010771262</v>
      </c>
    </row>
    <row r="4" spans="1:12" x14ac:dyDescent="0.25">
      <c r="A4">
        <f>'15_Z'!$B$6</f>
        <v>137.29793473425812</v>
      </c>
      <c r="B4">
        <f>'15_Z'!$C$6</f>
        <v>7.0128464932901808</v>
      </c>
      <c r="C4">
        <f>'15_Z'!$D$6</f>
        <v>121.74644619522444</v>
      </c>
      <c r="D4">
        <f>'15_Z'!$E$6</f>
        <v>1313.1300178245926</v>
      </c>
      <c r="E4">
        <f>'15_Z'!$F$6</f>
        <v>9.9362515447729614</v>
      </c>
      <c r="F4">
        <f>'15_Z'!$G$6</f>
        <v>231.3643626516405</v>
      </c>
      <c r="G4">
        <f>'15_Z'!$H$6</f>
        <v>23.731018095278039</v>
      </c>
      <c r="H4">
        <f>'15_Z'!$I$6</f>
        <v>19.602486508776778</v>
      </c>
      <c r="I4">
        <f>'15_Z'!$J$6</f>
        <v>11.763018974204005</v>
      </c>
      <c r="J4">
        <f>'15_Z'!$K$6</f>
        <v>6.4736196044597047</v>
      </c>
      <c r="K4">
        <f>'15_Z'!$L$6</f>
        <v>194.67606230186578</v>
      </c>
      <c r="L4">
        <f>'15_Z'!$M$6</f>
        <v>339.52630070109814</v>
      </c>
    </row>
    <row r="5" spans="1:12" x14ac:dyDescent="0.25">
      <c r="A5">
        <f>'15_Z'!$B$7</f>
        <v>3.5743264707162408</v>
      </c>
      <c r="B5">
        <f>'15_Z'!$C$7</f>
        <v>1.6058949923316631E-2</v>
      </c>
      <c r="C5">
        <f>'15_Z'!$D$7</f>
        <v>2.2334946312923178</v>
      </c>
      <c r="D5">
        <f>'15_Z'!$E$7</f>
        <v>73.736910245029975</v>
      </c>
      <c r="E5">
        <f>'15_Z'!$F$7</f>
        <v>657.28513558473855</v>
      </c>
      <c r="F5">
        <f>'15_Z'!$G$7</f>
        <v>10.959386765623472</v>
      </c>
      <c r="G5">
        <f>'15_Z'!$H$7</f>
        <v>7.8643506047850504</v>
      </c>
      <c r="H5">
        <f>'15_Z'!$I$7</f>
        <v>31.745332435684908</v>
      </c>
      <c r="I5">
        <f>'15_Z'!$J$7</f>
        <v>4.6524519799890909</v>
      </c>
      <c r="J5">
        <f>'15_Z'!$K$7</f>
        <v>9.8391833432557139</v>
      </c>
      <c r="K5">
        <f>'15_Z'!$L$7</f>
        <v>23.527107267559828</v>
      </c>
      <c r="L5">
        <f>'15_Z'!$M$7</f>
        <v>338.72907304974814</v>
      </c>
    </row>
    <row r="6" spans="1:12" x14ac:dyDescent="0.25">
      <c r="A6">
        <f>'15_Z'!$B$8</f>
        <v>531.5815414026066</v>
      </c>
      <c r="B6">
        <f>'15_Z'!$C$8</f>
        <v>13.354213551012458</v>
      </c>
      <c r="C6">
        <f>'15_Z'!$D$8</f>
        <v>832.23085179452596</v>
      </c>
      <c r="D6">
        <f>'15_Z'!$E$8</f>
        <v>81.204469144716469</v>
      </c>
      <c r="E6">
        <f>'15_Z'!$F$8</f>
        <v>445.81235130525789</v>
      </c>
      <c r="F6">
        <f>'15_Z'!$G$8</f>
        <v>121.91431510173679</v>
      </c>
      <c r="G6">
        <f>'15_Z'!$H$8</f>
        <v>105.03936976106053</v>
      </c>
      <c r="H6">
        <f>'15_Z'!$I$8</f>
        <v>-7.0625538370678242</v>
      </c>
      <c r="I6">
        <f>'15_Z'!$J$8</f>
        <v>12.062364008974058</v>
      </c>
      <c r="J6">
        <f>'15_Z'!$K$8</f>
        <v>12.569782604525205</v>
      </c>
      <c r="K6">
        <f>'15_Z'!$L$8</f>
        <v>268.52763090526344</v>
      </c>
      <c r="L6">
        <f>'15_Z'!$M$8</f>
        <v>165.60014289329303</v>
      </c>
    </row>
    <row r="7" spans="1:12" x14ac:dyDescent="0.25">
      <c r="A7">
        <f>'15_Z'!$B$9</f>
        <v>102.03103355323456</v>
      </c>
      <c r="B7">
        <f>'15_Z'!$C$9</f>
        <v>5.4192199222597681</v>
      </c>
      <c r="C7">
        <f>'15_Z'!$D$9</f>
        <v>345.90299500643567</v>
      </c>
      <c r="D7">
        <f>'15_Z'!$E$9</f>
        <v>20.963103688097803</v>
      </c>
      <c r="E7">
        <f>'15_Z'!$F$9</f>
        <v>55.350912378186337</v>
      </c>
      <c r="F7">
        <f>'15_Z'!$G$9</f>
        <v>335.87422029984668</v>
      </c>
      <c r="G7">
        <f>'15_Z'!$H$9</f>
        <v>213.6648568329621</v>
      </c>
      <c r="H7">
        <f>'15_Z'!$I$9</f>
        <v>9.8696178920975228</v>
      </c>
      <c r="I7">
        <f>'15_Z'!$J$9</f>
        <v>20.598507326593527</v>
      </c>
      <c r="J7">
        <f>'15_Z'!$K$9</f>
        <v>2.6884570971235733</v>
      </c>
      <c r="K7">
        <f>'15_Z'!$L$9</f>
        <v>106.80419410630297</v>
      </c>
      <c r="L7">
        <f>'15_Z'!$M$9</f>
        <v>156.35156672340094</v>
      </c>
    </row>
    <row r="8" spans="1:12" x14ac:dyDescent="0.25">
      <c r="A8">
        <f>'15_Z'!$B$10</f>
        <v>0.41091034042452251</v>
      </c>
      <c r="B8">
        <f>'15_Z'!$C$10</f>
        <v>0.15223881916905149</v>
      </c>
      <c r="C8">
        <f>'15_Z'!$D$10</f>
        <v>32.458145722010627</v>
      </c>
      <c r="D8">
        <f>'15_Z'!$E$10</f>
        <v>27.374146751113074</v>
      </c>
      <c r="E8">
        <f>'15_Z'!$F$10</f>
        <v>11.142780580233373</v>
      </c>
      <c r="F8">
        <f>'15_Z'!$G$10</f>
        <v>102.64321588399166</v>
      </c>
      <c r="G8">
        <f>'15_Z'!$H$10</f>
        <v>21.152206110675284</v>
      </c>
      <c r="H8">
        <f>'15_Z'!$I$10</f>
        <v>173.9743374483345</v>
      </c>
      <c r="I8">
        <f>'15_Z'!$J$10</f>
        <v>70.089323740734812</v>
      </c>
      <c r="J8">
        <f>'15_Z'!$K$10</f>
        <v>3.9810234555694772</v>
      </c>
      <c r="K8">
        <f>'15_Z'!$L$10</f>
        <v>136.24393551755981</v>
      </c>
      <c r="L8">
        <f>'15_Z'!$M$10</f>
        <v>265.77180856329636</v>
      </c>
    </row>
    <row r="9" spans="1:12" x14ac:dyDescent="0.25">
      <c r="A9">
        <f>'15_Z'!$B$11</f>
        <v>49.055287521631257</v>
      </c>
      <c r="B9">
        <f>'15_Z'!$C$11</f>
        <v>2.7573775382763617</v>
      </c>
      <c r="C9">
        <f>'15_Z'!$D$11</f>
        <v>69.290796585763971</v>
      </c>
      <c r="D9">
        <f>'15_Z'!$E$11</f>
        <v>49.599595568386455</v>
      </c>
      <c r="E9">
        <f>'15_Z'!$F$11</f>
        <v>36.613607481120766</v>
      </c>
      <c r="F9">
        <f>'15_Z'!$G$11</f>
        <v>96.796978198251168</v>
      </c>
      <c r="G9">
        <f>'15_Z'!$H$11</f>
        <v>27.30563235755573</v>
      </c>
      <c r="H9">
        <f>'15_Z'!$I$11</f>
        <v>26.021253888849291</v>
      </c>
      <c r="I9">
        <f>'15_Z'!$J$11</f>
        <v>138.15341225139244</v>
      </c>
      <c r="J9">
        <f>'15_Z'!$K$11</f>
        <v>57.737987932334391</v>
      </c>
      <c r="K9">
        <f>'15_Z'!$L$11</f>
        <v>58.551867186652835</v>
      </c>
      <c r="L9">
        <f>'15_Z'!$M$11</f>
        <v>254.02316370659136</v>
      </c>
    </row>
    <row r="10" spans="1:12" x14ac:dyDescent="0.25">
      <c r="A10">
        <f>'15_Z'!$B$12</f>
        <v>0.21200042972342301</v>
      </c>
      <c r="B10">
        <f>'15_Z'!$C$12</f>
        <v>0.41263362105813967</v>
      </c>
      <c r="C10">
        <f>'15_Z'!$D$12</f>
        <v>19.615461309637379</v>
      </c>
      <c r="D10">
        <f>'15_Z'!$E$12</f>
        <v>20.962155011859036</v>
      </c>
      <c r="E10">
        <f>'15_Z'!$F$12</f>
        <v>12.231422750452278</v>
      </c>
      <c r="F10">
        <f>'15_Z'!$G$12</f>
        <v>333.68081232149899</v>
      </c>
      <c r="G10">
        <f>'15_Z'!$H$12</f>
        <v>40.741276525405326</v>
      </c>
      <c r="H10">
        <f>'15_Z'!$I$12</f>
        <v>22.818333728954876</v>
      </c>
      <c r="I10">
        <f>'15_Z'!$J$12</f>
        <v>20.423015994952674</v>
      </c>
      <c r="J10">
        <f>'15_Z'!$K$12</f>
        <v>11.35620413800677</v>
      </c>
      <c r="K10">
        <f>'15_Z'!$L$12</f>
        <v>170.99329498261798</v>
      </c>
      <c r="L10">
        <f>'15_Z'!$M$12</f>
        <v>47.425937884517396</v>
      </c>
    </row>
    <row r="11" spans="1:12" x14ac:dyDescent="0.25">
      <c r="A11">
        <f>'15_Z'!$B$13</f>
        <v>26.876905961884898</v>
      </c>
      <c r="B11">
        <f>'15_Z'!$C$13</f>
        <v>7.6650702989824016</v>
      </c>
      <c r="C11">
        <f>'15_Z'!$D$13</f>
        <v>281.53720879163188</v>
      </c>
      <c r="D11">
        <f>'15_Z'!$E$13</f>
        <v>174.73497188581632</v>
      </c>
      <c r="E11">
        <f>'15_Z'!$F$13</f>
        <v>110.1671583496601</v>
      </c>
      <c r="F11">
        <f>'15_Z'!$G$13</f>
        <v>611.81341158540909</v>
      </c>
      <c r="G11">
        <f>'15_Z'!$H$13</f>
        <v>113.00942475178341</v>
      </c>
      <c r="H11">
        <f>'15_Z'!$I$13</f>
        <v>206.44634218480172</v>
      </c>
      <c r="I11">
        <f>'15_Z'!$J$13</f>
        <v>159.50336630177466</v>
      </c>
      <c r="J11">
        <f>'15_Z'!$K$13</f>
        <v>21.333208359290193</v>
      </c>
      <c r="K11">
        <f>'15_Z'!$L$13</f>
        <v>552.53157237422045</v>
      </c>
      <c r="L11">
        <f>'15_Z'!$M$13</f>
        <v>971.89635370596534</v>
      </c>
    </row>
    <row r="12" spans="1:12" x14ac:dyDescent="0.25">
      <c r="A12">
        <f>'15_Z'!$B$14</f>
        <v>2.4138853375949907</v>
      </c>
      <c r="B12">
        <f>'15_Z'!$C$14</f>
        <v>0.29231800845435846</v>
      </c>
      <c r="C12">
        <f>'15_Z'!$D$14</f>
        <v>13.406544576786059</v>
      </c>
      <c r="D12">
        <f>'15_Z'!$E$14</f>
        <v>7.9902696509565514</v>
      </c>
      <c r="E12">
        <f>'15_Z'!$F$14</f>
        <v>3.9893737159123916</v>
      </c>
      <c r="F12">
        <f>'15_Z'!$G$14</f>
        <v>22.251001552749717</v>
      </c>
      <c r="G12">
        <f>'15_Z'!$H$14</f>
        <v>5.2617662056737693</v>
      </c>
      <c r="H12">
        <f>'15_Z'!$I$14</f>
        <v>6.6675846342251948</v>
      </c>
      <c r="I12">
        <f>'15_Z'!$J$14</f>
        <v>5.1404739144225209</v>
      </c>
      <c r="J12">
        <f>'15_Z'!$K$14</f>
        <v>0.70330871691071284</v>
      </c>
      <c r="K12">
        <f>'15_Z'!$L$14</f>
        <v>18.482851174270408</v>
      </c>
      <c r="L12">
        <f>'15_Z'!$M$14</f>
        <v>31.735788583618376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2"/>
  <sheetViews>
    <sheetView workbookViewId="0"/>
  </sheetViews>
  <sheetFormatPr defaultColWidth="11.42578125" defaultRowHeight="15" x14ac:dyDescent="0.25"/>
  <sheetData>
    <row r="1" spans="1:1" x14ac:dyDescent="0.25">
      <c r="A1">
        <f>'16_Y'!$I$3</f>
        <v>5966.208284132882</v>
      </c>
    </row>
    <row r="2" spans="1:1" x14ac:dyDescent="0.25">
      <c r="A2">
        <f>'16_Y'!$I$4</f>
        <v>77.046250659362073</v>
      </c>
    </row>
    <row r="3" spans="1:1" x14ac:dyDescent="0.25">
      <c r="A3">
        <f>'16_Y'!$I$5</f>
        <v>6015.9941836821999</v>
      </c>
    </row>
    <row r="4" spans="1:1" x14ac:dyDescent="0.25">
      <c r="A4">
        <f>'16_Y'!$I$6</f>
        <v>1675.6824275687673</v>
      </c>
    </row>
    <row r="5" spans="1:1" x14ac:dyDescent="0.25">
      <c r="A5">
        <f>'16_Y'!$I$7</f>
        <v>4542.9288248600478</v>
      </c>
    </row>
    <row r="6" spans="1:1" x14ac:dyDescent="0.25">
      <c r="A6">
        <f>'16_Y'!$I$8</f>
        <v>7369.1912310705156</v>
      </c>
    </row>
    <row r="7" spans="1:1" x14ac:dyDescent="0.25">
      <c r="A7">
        <f>'16_Y'!$I$9</f>
        <v>1278.2692285560076</v>
      </c>
    </row>
    <row r="8" spans="1:1" x14ac:dyDescent="0.25">
      <c r="A8">
        <f>'16_Y'!$I$10</f>
        <v>642.35702713168837</v>
      </c>
    </row>
    <row r="9" spans="1:1" x14ac:dyDescent="0.25">
      <c r="A9">
        <f>'16_Y'!$I$11</f>
        <v>1482.2932203720266</v>
      </c>
    </row>
    <row r="10" spans="1:1" x14ac:dyDescent="0.25">
      <c r="A10">
        <f>'16_Y'!$I$12</f>
        <v>3327.8612972693386</v>
      </c>
    </row>
    <row r="11" spans="1:1" x14ac:dyDescent="0.25">
      <c r="A11">
        <f>'16_Y'!$I$13</f>
        <v>6311.4291528593631</v>
      </c>
    </row>
    <row r="12" spans="1:1" x14ac:dyDescent="0.25">
      <c r="A12">
        <f>'16_Y'!$I$14</f>
        <v>19534.031884654138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12"/>
  <sheetViews>
    <sheetView workbookViewId="0"/>
  </sheetViews>
  <sheetFormatPr defaultColWidth="11.42578125" defaultRowHeight="15" x14ac:dyDescent="0.25"/>
  <sheetData>
    <row r="1" spans="1:1" x14ac:dyDescent="0.25">
      <c r="A1">
        <f>'12_X'!$B$2</f>
        <v>7608.782433432365</v>
      </c>
    </row>
    <row r="2" spans="1:1" x14ac:dyDescent="0.25">
      <c r="A2">
        <f>'12_X'!$B$3</f>
        <v>210.31197526440275</v>
      </c>
    </row>
    <row r="3" spans="1:1" x14ac:dyDescent="0.25">
      <c r="A3">
        <f>'12_X'!$B$4</f>
        <v>8145.6055634928534</v>
      </c>
    </row>
    <row r="4" spans="1:1" x14ac:dyDescent="0.25">
      <c r="A4">
        <f>'12_X'!$B$5</f>
        <v>4091.9781914344376</v>
      </c>
    </row>
    <row r="5" spans="1:1" x14ac:dyDescent="0.25">
      <c r="A5">
        <f>'12_X'!$B$6</f>
        <v>5707.0916361883983</v>
      </c>
    </row>
    <row r="6" spans="1:1" x14ac:dyDescent="0.25">
      <c r="A6">
        <f>'12_X'!$B$7</f>
        <v>9952.0247863957829</v>
      </c>
    </row>
    <row r="7" spans="1:1" x14ac:dyDescent="0.25">
      <c r="A7">
        <f>'12_X'!$B$8</f>
        <v>2653.5548443687544</v>
      </c>
    </row>
    <row r="8" spans="1:1" x14ac:dyDescent="0.25">
      <c r="A8">
        <f>'12_X'!$B$9</f>
        <v>1487.7511000648062</v>
      </c>
    </row>
    <row r="9" spans="1:1" x14ac:dyDescent="0.25">
      <c r="A9">
        <f>'12_X'!$B$10</f>
        <v>2348.2000054803766</v>
      </c>
    </row>
    <row r="10" spans="1:1" x14ac:dyDescent="0.25">
      <c r="A10">
        <f>'12_X'!$B$11</f>
        <v>4028.73384596802</v>
      </c>
    </row>
    <row r="11" spans="1:1" x14ac:dyDescent="0.25">
      <c r="A11">
        <f>'12_X'!$B$12</f>
        <v>9548.9441474105897</v>
      </c>
    </row>
    <row r="12" spans="1:1" x14ac:dyDescent="0.25">
      <c r="A12">
        <f>'12_X'!$B$13</f>
        <v>19652.365280557206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12"/>
  <sheetViews>
    <sheetView workbookViewId="0"/>
  </sheetViews>
  <sheetFormatPr defaultColWidth="11.42578125" defaultRowHeight="15" x14ac:dyDescent="0.25"/>
  <sheetData>
    <row r="1" spans="1:1" x14ac:dyDescent="0.25">
      <c r="A1">
        <f>'03_VA'!$B$2</f>
        <v>4437.2007768029498</v>
      </c>
    </row>
    <row r="2" spans="1:1" x14ac:dyDescent="0.25">
      <c r="A2">
        <f>'03_VA'!$C$2</f>
        <v>109.639553878613</v>
      </c>
    </row>
    <row r="3" spans="1:1" x14ac:dyDescent="0.25">
      <c r="A3">
        <f>'03_VA'!$D$2</f>
        <v>1393.3765802149201</v>
      </c>
    </row>
    <row r="4" spans="1:1" x14ac:dyDescent="0.25">
      <c r="A4">
        <f>'03_VA'!$E$2</f>
        <v>1585.1014174741899</v>
      </c>
    </row>
    <row r="5" spans="1:1" x14ac:dyDescent="0.25">
      <c r="A5">
        <f>'03_VA'!$F$2</f>
        <v>2472.1586991894401</v>
      </c>
    </row>
    <row r="6" spans="1:1" x14ac:dyDescent="0.25">
      <c r="A6">
        <f>'03_VA'!$G$2</f>
        <v>6361.6559667895099</v>
      </c>
    </row>
    <row r="7" spans="1:1" x14ac:dyDescent="0.25">
      <c r="A7">
        <f>'03_VA'!$H$2</f>
        <v>1146.04450117593</v>
      </c>
    </row>
    <row r="8" spans="1:1" x14ac:dyDescent="0.25">
      <c r="A8">
        <f>'03_VA'!$I$2</f>
        <v>640.583951814682</v>
      </c>
    </row>
    <row r="9" spans="1:1" x14ac:dyDescent="0.25">
      <c r="A9">
        <f>'03_VA'!$J$2</f>
        <v>1513.67235466691</v>
      </c>
    </row>
    <row r="10" spans="1:1" x14ac:dyDescent="0.25">
      <c r="A10">
        <f>'03_VA'!$K$2</f>
        <v>3742.37945376671</v>
      </c>
    </row>
    <row r="11" spans="1:1" x14ac:dyDescent="0.25">
      <c r="A11">
        <f>'03_VA'!$L$2</f>
        <v>6401.0099220749398</v>
      </c>
    </row>
    <row r="12" spans="1:1" x14ac:dyDescent="0.25">
      <c r="A12">
        <f>'03_VA'!$M$2</f>
        <v>14891.5787888832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2"/>
  <sheetViews>
    <sheetView workbookViewId="0">
      <selection activeCell="A4" sqref="A4"/>
    </sheetView>
  </sheetViews>
  <sheetFormatPr defaultColWidth="11.42578125" defaultRowHeight="15" x14ac:dyDescent="0.25"/>
  <sheetData>
    <row r="1" spans="1:1" x14ac:dyDescent="0.25">
      <c r="A1">
        <f>'03_VA'!$B$3</f>
        <v>243000</v>
      </c>
    </row>
    <row r="2" spans="1:1" x14ac:dyDescent="0.25">
      <c r="A2">
        <f>'03_VA'!$C$3</f>
        <v>1392</v>
      </c>
    </row>
    <row r="3" spans="1:1" x14ac:dyDescent="0.25">
      <c r="A3">
        <f>'03_VA'!$D$3</f>
        <v>65289</v>
      </c>
    </row>
    <row r="4" spans="1:1" x14ac:dyDescent="0.25">
      <c r="A4">
        <f>'03_VA'!$E$3</f>
        <v>4319</v>
      </c>
    </row>
    <row r="5" spans="1:1" x14ac:dyDescent="0.25">
      <c r="A5">
        <f>'03_VA'!$F$3</f>
        <v>94000</v>
      </c>
    </row>
    <row r="6" spans="1:1" x14ac:dyDescent="0.25">
      <c r="A6">
        <f>'03_VA'!$G$3</f>
        <v>259000</v>
      </c>
    </row>
    <row r="7" spans="1:1" x14ac:dyDescent="0.25">
      <c r="A7">
        <f>'03_VA'!$H$3</f>
        <v>47000</v>
      </c>
    </row>
    <row r="8" spans="1:1" x14ac:dyDescent="0.25">
      <c r="A8">
        <f>'03_VA'!$I$3</f>
        <v>35550</v>
      </c>
    </row>
    <row r="9" spans="1:1" x14ac:dyDescent="0.25">
      <c r="A9">
        <f>'03_VA'!$J$3</f>
        <v>33763</v>
      </c>
    </row>
    <row r="10" spans="1:1" x14ac:dyDescent="0.25">
      <c r="A10">
        <f>'03_VA'!$K$3</f>
        <v>12688</v>
      </c>
    </row>
    <row r="11" spans="1:1" x14ac:dyDescent="0.25">
      <c r="A11">
        <f>'03_VA'!$L$3</f>
        <v>192000</v>
      </c>
    </row>
    <row r="12" spans="1:1" x14ac:dyDescent="0.25">
      <c r="A12">
        <f>'03_VA'!$M$3</f>
        <v>240000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12"/>
  <sheetViews>
    <sheetView workbookViewId="0"/>
  </sheetViews>
  <sheetFormatPr defaultColWidth="11.42578125" defaultRowHeight="15" x14ac:dyDescent="0.25"/>
  <sheetData>
    <row r="1" spans="1:1" x14ac:dyDescent="0.25">
      <c r="A1">
        <f>'16_Y'!$E$3</f>
        <v>2311.0100757311784</v>
      </c>
    </row>
    <row r="2" spans="1:1" x14ac:dyDescent="0.25">
      <c r="A2">
        <f>'16_Y'!$E$4</f>
        <v>2.9944214852315887</v>
      </c>
    </row>
    <row r="3" spans="1:1" x14ac:dyDescent="0.25">
      <c r="A3">
        <f>'16_Y'!$E$5</f>
        <v>3965.9979208301093</v>
      </c>
    </row>
    <row r="4" spans="1:1" x14ac:dyDescent="0.25">
      <c r="A4">
        <f>'16_Y'!$E$6</f>
        <v>1129.6959932806005</v>
      </c>
    </row>
    <row r="5" spans="1:1" x14ac:dyDescent="0.25">
      <c r="A5">
        <f>'16_Y'!$E$7</f>
        <v>5.1582984447660571</v>
      </c>
    </row>
    <row r="6" spans="1:1" x14ac:dyDescent="0.25">
      <c r="A6">
        <f>'16_Y'!$E$8</f>
        <v>4711.6774099927707</v>
      </c>
    </row>
    <row r="7" spans="1:1" x14ac:dyDescent="0.25">
      <c r="A7">
        <f>'16_Y'!$E$9</f>
        <v>1091.7926168588115</v>
      </c>
    </row>
    <row r="8" spans="1:1" x14ac:dyDescent="0.25">
      <c r="A8">
        <f>'16_Y'!$E$10</f>
        <v>549.00794125931043</v>
      </c>
    </row>
    <row r="9" spans="1:1" x14ac:dyDescent="0.25">
      <c r="A9">
        <f>'16_Y'!$E$11</f>
        <v>1470.0135329383472</v>
      </c>
    </row>
    <row r="10" spans="1:1" x14ac:dyDescent="0.25">
      <c r="A10">
        <f>'16_Y'!$E$12</f>
        <v>3324.3619868560427</v>
      </c>
    </row>
    <row r="11" spans="1:1" x14ac:dyDescent="0.25">
      <c r="A11">
        <f>'16_Y'!$E$13</f>
        <v>5415.2407803565065</v>
      </c>
    </row>
    <row r="12" spans="1:1" x14ac:dyDescent="0.25">
      <c r="A12">
        <f>'16_Y'!$E$14</f>
        <v>184.12087269083528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12"/>
  <sheetViews>
    <sheetView workbookViewId="0"/>
  </sheetViews>
  <sheetFormatPr defaultColWidth="11.42578125" defaultRowHeight="15" x14ac:dyDescent="0.25"/>
  <sheetData>
    <row r="1" spans="1:1" x14ac:dyDescent="0.25">
      <c r="A1">
        <f>'12_X'!$B$2-SUM('15_Z'!$B$3:$B$14)</f>
        <v>6093.9323877050792</v>
      </c>
    </row>
    <row r="2" spans="1:1" x14ac:dyDescent="0.25">
      <c r="A2">
        <f>'12_X'!$B$3-SUM('15_Z'!$C$3:$C$14)</f>
        <v>160.34665163168654</v>
      </c>
    </row>
    <row r="3" spans="1:1" x14ac:dyDescent="0.25">
      <c r="A3">
        <f>'12_X'!$B$4-SUM('15_Z'!$D$3:$D$14)</f>
        <v>4540.1057351929485</v>
      </c>
    </row>
    <row r="4" spans="1:1" x14ac:dyDescent="0.25">
      <c r="A4">
        <f>'12_X'!$B$5-SUM('15_Z'!$E$3:$E$14)</f>
        <v>2246.1203462005515</v>
      </c>
    </row>
    <row r="5" spans="1:1" x14ac:dyDescent="0.25">
      <c r="A5">
        <f>'12_X'!$B$6-SUM('15_Z'!$F$3:$F$14)</f>
        <v>3946.0167784323844</v>
      </c>
    </row>
    <row r="6" spans="1:1" x14ac:dyDescent="0.25">
      <c r="A6">
        <f>'12_X'!$B$7-SUM('15_Z'!$G$3:$G$14)</f>
        <v>7873.4358403771676</v>
      </c>
    </row>
    <row r="7" spans="1:1" x14ac:dyDescent="0.25">
      <c r="A7">
        <f>'12_X'!$B$8-SUM('15_Z'!$H$3:$H$14)</f>
        <v>1961.4540065616845</v>
      </c>
    </row>
    <row r="8" spans="1:1" x14ac:dyDescent="0.25">
      <c r="A8">
        <f>'12_X'!$B$9-SUM('15_Z'!$I$3:$I$14)</f>
        <v>986.28689028631015</v>
      </c>
    </row>
    <row r="9" spans="1:1" x14ac:dyDescent="0.25">
      <c r="A9">
        <f>'12_X'!$B$10-SUM('15_Z'!$J$3:$J$14)</f>
        <v>1899.9026968909939</v>
      </c>
    </row>
    <row r="10" spans="1:1" x14ac:dyDescent="0.25">
      <c r="A10">
        <f>'12_X'!$B$11-SUM('15_Z'!$K$3:$K$14)</f>
        <v>3889.6093739132843</v>
      </c>
    </row>
    <row r="11" spans="1:1" x14ac:dyDescent="0.25">
      <c r="A11">
        <f>'12_X'!$B$12-SUM('15_Z'!$L$3:$L$14)</f>
        <v>7752.9984133247126</v>
      </c>
    </row>
    <row r="12" spans="1:1" x14ac:dyDescent="0.25">
      <c r="A12">
        <f>'12_X'!$B$13-SUM('15_Z'!$M$3:$M$14)</f>
        <v>16872.883352934408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12"/>
  <sheetViews>
    <sheetView workbookViewId="0"/>
  </sheetViews>
  <sheetFormatPr defaultColWidth="11.42578125" defaultRowHeight="15" x14ac:dyDescent="0.25"/>
  <sheetData>
    <row r="1" spans="1:1" x14ac:dyDescent="0.25">
      <c r="A1" t="s">
        <v>189</v>
      </c>
    </row>
    <row r="2" spans="1:1" x14ac:dyDescent="0.25">
      <c r="A2" t="s">
        <v>190</v>
      </c>
    </row>
    <row r="3" spans="1:1" x14ac:dyDescent="0.25">
      <c r="A3" t="s">
        <v>191</v>
      </c>
    </row>
    <row r="4" spans="1:1" x14ac:dyDescent="0.25">
      <c r="A4" t="s">
        <v>192</v>
      </c>
    </row>
    <row r="5" spans="1:1" x14ac:dyDescent="0.25">
      <c r="A5" t="s">
        <v>193</v>
      </c>
    </row>
    <row r="6" spans="1:1" x14ac:dyDescent="0.25">
      <c r="A6" t="s">
        <v>194</v>
      </c>
    </row>
    <row r="7" spans="1:1" x14ac:dyDescent="0.25">
      <c r="A7" t="s">
        <v>195</v>
      </c>
    </row>
    <row r="8" spans="1:1" x14ac:dyDescent="0.25">
      <c r="A8" t="s">
        <v>196</v>
      </c>
    </row>
    <row r="9" spans="1:1" x14ac:dyDescent="0.25">
      <c r="A9" t="s">
        <v>197</v>
      </c>
    </row>
    <row r="10" spans="1:1" x14ac:dyDescent="0.25">
      <c r="A10" t="s">
        <v>198</v>
      </c>
    </row>
    <row r="11" spans="1:1" x14ac:dyDescent="0.25">
      <c r="A11" t="s">
        <v>199</v>
      </c>
    </row>
    <row r="12" spans="1:1" x14ac:dyDescent="0.25">
      <c r="A12" t="s">
        <v>200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595959"/>
    <pageSetUpPr fitToPage="1"/>
  </sheetPr>
  <dimension ref="A1:N29"/>
  <sheetViews>
    <sheetView showGridLines="0" zoomScale="75" workbookViewId="0">
      <pane ySplit="4" topLeftCell="A5" activePane="bottomLeft" state="frozen"/>
      <selection pane="bottomLeft" sqref="A1:K2"/>
    </sheetView>
  </sheetViews>
  <sheetFormatPr defaultRowHeight="15" x14ac:dyDescent="0.25"/>
  <cols>
    <col min="1" max="1" width="32" customWidth="1"/>
    <col min="2" max="2" width="8" customWidth="1"/>
    <col min="3" max="4" width="12" customWidth="1"/>
    <col min="5" max="9" width="11" customWidth="1"/>
    <col min="10" max="10" width="10" customWidth="1"/>
    <col min="11" max="11" width="7" customWidth="1"/>
    <col min="12" max="12" width="3" customWidth="1"/>
    <col min="13" max="13" width="32" customWidth="1"/>
    <col min="14" max="14" width="20" customWidth="1"/>
  </cols>
  <sheetData>
    <row r="1" spans="1:14" ht="21.95" customHeight="1" x14ac:dyDescent="0.25">
      <c r="A1" s="59" t="s">
        <v>201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4"/>
      <c r="M1" s="4"/>
      <c r="N1" s="4"/>
    </row>
    <row r="2" spans="1:14" ht="21.95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4"/>
      <c r="M2" s="4"/>
      <c r="N2" s="4"/>
    </row>
    <row r="3" spans="1:14" ht="18.95" customHeight="1" x14ac:dyDescent="0.25">
      <c r="A3" s="60" t="s">
        <v>202</v>
      </c>
      <c r="B3" s="59" t="s">
        <v>203</v>
      </c>
      <c r="C3" s="62" t="s">
        <v>204</v>
      </c>
      <c r="D3" s="62"/>
      <c r="E3" s="62"/>
      <c r="F3" s="62"/>
      <c r="G3" s="62"/>
      <c r="H3" s="62"/>
      <c r="I3" s="62"/>
      <c r="J3" s="62"/>
      <c r="K3" s="62" t="s">
        <v>90</v>
      </c>
      <c r="L3" s="4"/>
      <c r="M3" s="1" t="s">
        <v>205</v>
      </c>
      <c r="N3" s="55"/>
    </row>
    <row r="4" spans="1:14" ht="75.95" customHeight="1" x14ac:dyDescent="0.25">
      <c r="A4" s="60"/>
      <c r="B4" s="61"/>
      <c r="C4" s="5" t="s">
        <v>206</v>
      </c>
      <c r="D4" s="5" t="s">
        <v>207</v>
      </c>
      <c r="E4" s="5" t="s">
        <v>208</v>
      </c>
      <c r="F4" s="5" t="s">
        <v>209</v>
      </c>
      <c r="G4" s="5" t="s">
        <v>210</v>
      </c>
      <c r="H4" s="5" t="s">
        <v>211</v>
      </c>
      <c r="I4" s="5" t="s">
        <v>212</v>
      </c>
      <c r="J4" s="6" t="s">
        <v>213</v>
      </c>
      <c r="K4" s="63"/>
      <c r="L4" s="4"/>
      <c r="M4" s="7" t="s">
        <v>214</v>
      </c>
      <c r="N4" s="7" t="s">
        <v>215</v>
      </c>
    </row>
    <row r="5" spans="1:14" ht="20.100000000000001" customHeight="1" x14ac:dyDescent="0.25">
      <c r="A5" s="8" t="str">
        <f>MID('15_Z'!A3,6,200)</f>
        <v>Agropecuária</v>
      </c>
      <c r="B5" s="13">
        <f>IF($N5=0,"n.a.",100*SUM('15_Z'!B3:M3)/$N5)</f>
        <v>21.587871169533532</v>
      </c>
      <c r="C5" s="10">
        <f>IF($N5=0,"n.a.",100*'16_Y'!B3/$N5)</f>
        <v>24.622946083140736</v>
      </c>
      <c r="D5" s="10">
        <f>IF($N5=0,"n.a.",100*'16_Y'!C3/$N5)</f>
        <v>12.697765777239324</v>
      </c>
      <c r="E5" s="10">
        <f>IF($N5=0,"n.a.",100*'16_Y'!D3/$N5)</f>
        <v>1.8351270863804361E-2</v>
      </c>
      <c r="F5" s="10">
        <f>IF($N5=0,"n.a.",100*'16_Y'!E3/$N5)</f>
        <v>30.372928861479764</v>
      </c>
      <c r="G5" s="10">
        <f>IF($N5=0,"n.a.",100*'16_Y'!F3/$N5)</f>
        <v>1.1083741590010752E-4</v>
      </c>
      <c r="H5" s="10">
        <f>IF($N5=0,"n.a.",100*'16_Y'!G3/$N5)</f>
        <v>2.5263577294881565</v>
      </c>
      <c r="I5" s="10">
        <f>IF($N5=0,"n.a.",100*'16_Y'!H3/$N5)</f>
        <v>8.1736682708388013</v>
      </c>
      <c r="J5" s="13">
        <f t="shared" ref="J5:J20" si="0">IF($N5=0,"n.a.",SUM(C5:I5))</f>
        <v>78.412128830466486</v>
      </c>
      <c r="K5" s="15">
        <f t="shared" ref="K5:K20" si="1">IF($N5=0,"n.a.",SUM(B5,J5))</f>
        <v>100.00000000000001</v>
      </c>
      <c r="L5" s="4"/>
      <c r="M5" s="8" t="str">
        <f t="shared" ref="M5:M20" si="2">A5</f>
        <v>Agropecuária</v>
      </c>
      <c r="N5" s="9">
        <f>SUM('15_Z'!B3:M3,'16_Y'!B3:H3)</f>
        <v>7608.7824334323568</v>
      </c>
    </row>
    <row r="6" spans="1:14" ht="20.100000000000001" customHeight="1" x14ac:dyDescent="0.25">
      <c r="A6" s="11" t="str">
        <f>MID('15_Z'!A4,6,200)</f>
        <v>Indústrias extrativas</v>
      </c>
      <c r="B6" s="14">
        <f>IF($N6=0,"n.a.",100*SUM('15_Z'!B4:M4)/$N6)</f>
        <v>63.365732948635035</v>
      </c>
      <c r="C6" s="12">
        <f>IF($N6=0,"n.a.",100*'16_Y'!B4/$N6)</f>
        <v>1.3195081208284647</v>
      </c>
      <c r="D6" s="12">
        <f>IF($N6=0,"n.a.",100*'16_Y'!C4/$N6)</f>
        <v>20.058518428577347</v>
      </c>
      <c r="E6" s="12">
        <f>IF($N6=0,"n.a.",100*'16_Y'!D4/$N6)</f>
        <v>6.2066523202512301E-3</v>
      </c>
      <c r="F6" s="12">
        <f>IF($N6=0,"n.a.",100*'16_Y'!E4/$N6)</f>
        <v>1.4237998009704478</v>
      </c>
      <c r="G6" s="12">
        <f>IF($N6=0,"n.a.",100*'16_Y'!F4/$N6)</f>
        <v>0</v>
      </c>
      <c r="H6" s="12">
        <f>IF($N6=0,"n.a.",100*'16_Y'!G4/$N6)</f>
        <v>0.12833608629094007</v>
      </c>
      <c r="I6" s="12">
        <f>IF($N6=0,"n.a.",100*'16_Y'!H4/$N6)</f>
        <v>13.697897962377517</v>
      </c>
      <c r="J6" s="14">
        <f t="shared" si="0"/>
        <v>36.634267051364972</v>
      </c>
      <c r="K6" s="16">
        <f t="shared" si="1"/>
        <v>100</v>
      </c>
      <c r="L6" s="4"/>
      <c r="M6" s="8" t="str">
        <f t="shared" si="2"/>
        <v>Indústrias extrativas</v>
      </c>
      <c r="N6" s="9">
        <f>SUM('15_Z'!B4:M4,'16_Y'!B4:H4)</f>
        <v>210.31197526440312</v>
      </c>
    </row>
    <row r="7" spans="1:14" ht="32.1" customHeight="1" x14ac:dyDescent="0.25">
      <c r="A7" s="8" t="str">
        <f>MID('15_Z'!A5,6,200)</f>
        <v>Indústrias de transformação</v>
      </c>
      <c r="B7" s="13">
        <f>IF($N7=0,"n.a.",100*SUM('15_Z'!B5:M5)/$N7)</f>
        <v>26.144297845149303</v>
      </c>
      <c r="C7" s="10">
        <f>IF($N7=0,"n.a.",100*'16_Y'!B5/$N7)</f>
        <v>4.9670514780286181</v>
      </c>
      <c r="D7" s="10">
        <f>IF($N7=0,"n.a.",100*'16_Y'!C5/$N7)</f>
        <v>10.603833285914892</v>
      </c>
      <c r="E7" s="10">
        <f>IF($N7=0,"n.a.",100*'16_Y'!D5/$N7)</f>
        <v>0.23467229241788537</v>
      </c>
      <c r="F7" s="10">
        <f>IF($N7=0,"n.a.",100*'16_Y'!E5/$N7)</f>
        <v>48.688803919072896</v>
      </c>
      <c r="G7" s="10">
        <f>IF($N7=0,"n.a.",100*'16_Y'!F5/$N7)</f>
        <v>4.8055602656409138E-5</v>
      </c>
      <c r="H7" s="10">
        <f>IF($N7=0,"n.a.",100*'16_Y'!G5/$N7)</f>
        <v>4.8494043281802046</v>
      </c>
      <c r="I7" s="10">
        <f>IF($N7=0,"n.a.",100*'16_Y'!H5/$N7)</f>
        <v>4.5118887956335367</v>
      </c>
      <c r="J7" s="13">
        <f t="shared" si="0"/>
        <v>73.85570215485069</v>
      </c>
      <c r="K7" s="15">
        <f t="shared" si="1"/>
        <v>100</v>
      </c>
      <c r="L7" s="4"/>
      <c r="M7" s="8" t="str">
        <f t="shared" si="2"/>
        <v>Indústrias de transformação</v>
      </c>
      <c r="N7" s="9">
        <f>SUM('15_Z'!B5:M5,'16_Y'!B5:H5)</f>
        <v>8145.6055634928143</v>
      </c>
    </row>
    <row r="8" spans="1:14" ht="48" customHeight="1" x14ac:dyDescent="0.25">
      <c r="A8" s="11" t="str">
        <f>MID('15_Z'!A6,6,200)</f>
        <v>Eletricidade e gás, água, esgoto e gestão de resíduos</v>
      </c>
      <c r="B8" s="14">
        <f>IF($N8=0,"n.a.",100*SUM('15_Z'!B6:M6)/$N8)</f>
        <v>59.0492215493788</v>
      </c>
      <c r="C8" s="12">
        <f>IF($N8=0,"n.a.",100*'16_Y'!B6/$N8)</f>
        <v>4.1332646136293018E-8</v>
      </c>
      <c r="D8" s="12">
        <f>IF($N8=0,"n.a.",100*'16_Y'!C6/$N8)</f>
        <v>13.306733114144897</v>
      </c>
      <c r="E8" s="12">
        <f>IF($N8=0,"n.a.",100*'16_Y'!D6/$N8)</f>
        <v>3.7670182973562148E-7</v>
      </c>
      <c r="F8" s="12">
        <f>IF($N8=0,"n.a.",100*'16_Y'!E6/$N8)</f>
        <v>27.607814927384155</v>
      </c>
      <c r="G8" s="12">
        <f>IF($N8=0,"n.a.",100*'16_Y'!F6/$N8)</f>
        <v>3.0884429839852718E-7</v>
      </c>
      <c r="H8" s="12">
        <f>IF($N8=0,"n.a.",100*'16_Y'!G6/$N8)</f>
        <v>1.0589928181487626E-7</v>
      </c>
      <c r="I8" s="12">
        <f>IF($N8=0,"n.a.",100*'16_Y'!H6/$N8)</f>
        <v>3.6229576314093855E-2</v>
      </c>
      <c r="J8" s="14">
        <f t="shared" si="0"/>
        <v>40.9507784506212</v>
      </c>
      <c r="K8" s="16">
        <f t="shared" si="1"/>
        <v>100</v>
      </c>
      <c r="L8" s="4"/>
      <c r="M8" s="8" t="str">
        <f t="shared" si="2"/>
        <v>Eletricidade e gás, água, esgoto e gestão de resíduos</v>
      </c>
      <c r="N8" s="9">
        <f>SUM('15_Z'!B6:M6,'16_Y'!B6:H6)</f>
        <v>4091.9427931982282</v>
      </c>
    </row>
    <row r="9" spans="1:14" ht="20.100000000000001" customHeight="1" x14ac:dyDescent="0.25">
      <c r="A9" s="8" t="str">
        <f>MID('15_Z'!A7,6,200)</f>
        <v>Construção</v>
      </c>
      <c r="B9" s="13">
        <f>IF($N9=0,"n.a.",100*SUM('15_Z'!B7:M7)/$N9)</f>
        <v>20.398530206637055</v>
      </c>
      <c r="C9" s="10">
        <f>IF($N9=0,"n.a.",100*'16_Y'!B7/$N9)</f>
        <v>2.7620218140505376E-4</v>
      </c>
      <c r="D9" s="10">
        <f>IF($N9=0,"n.a.",100*'16_Y'!C7/$N9)</f>
        <v>9.5943828690709808E-4</v>
      </c>
      <c r="E9" s="10">
        <f>IF($N9=0,"n.a.",100*'16_Y'!D7/$N9)</f>
        <v>2.1804842153495189E-3</v>
      </c>
      <c r="F9" s="10">
        <f>IF($N9=0,"n.a.",100*'16_Y'!E7/$N9)</f>
        <v>9.0384012971817959E-2</v>
      </c>
      <c r="G9" s="10">
        <f>IF($N9=0,"n.a.",100*'16_Y'!F7/$N9)</f>
        <v>1.7862722302043926E-3</v>
      </c>
      <c r="H9" s="10">
        <f>IF($N9=0,"n.a.",100*'16_Y'!G7/$N9)</f>
        <v>79.505850022170208</v>
      </c>
      <c r="I9" s="10">
        <f>IF($N9=0,"n.a.",100*'16_Y'!H7/$N9)</f>
        <v>3.3361307035171106E-5</v>
      </c>
      <c r="J9" s="13">
        <f t="shared" si="0"/>
        <v>79.601469793362924</v>
      </c>
      <c r="K9" s="15">
        <f t="shared" si="1"/>
        <v>99.999999999999972</v>
      </c>
      <c r="L9" s="4"/>
      <c r="M9" s="8" t="str">
        <f t="shared" si="2"/>
        <v>Construção</v>
      </c>
      <c r="N9" s="9">
        <f>SUM('15_Z'!B7:M7,'16_Y'!B7:H7)</f>
        <v>5707.0916361883947</v>
      </c>
    </row>
    <row r="10" spans="1:14" ht="20.100000000000001" customHeight="1" x14ac:dyDescent="0.25">
      <c r="A10" s="11" t="str">
        <f>MID('15_Z'!A8,6,200)</f>
        <v>Comércio</v>
      </c>
      <c r="B10" s="14">
        <f>IF($N10=0,"n.a.",100*SUM('15_Z'!B8:M8)/$N10)</f>
        <v>25.952851750742692</v>
      </c>
      <c r="C10" s="12">
        <f>IF($N10=0,"n.a.",100*'16_Y'!B8/$N10)</f>
        <v>3.3767610991288968</v>
      </c>
      <c r="D10" s="12">
        <f>IF($N10=0,"n.a.",100*'16_Y'!C8/$N10)</f>
        <v>12.291930597743237</v>
      </c>
      <c r="E10" s="12">
        <f>IF($N10=0,"n.a.",100*'16_Y'!D8/$N10)</f>
        <v>0.26988037744493154</v>
      </c>
      <c r="F10" s="12">
        <f>IF($N10=0,"n.a.",100*'16_Y'!E8/$N10)</f>
        <v>47.343903115095181</v>
      </c>
      <c r="G10" s="12">
        <f>IF($N10=0,"n.a.",100*'16_Y'!F8/$N10)</f>
        <v>1.9170777684565227E-2</v>
      </c>
      <c r="H10" s="12">
        <f>IF($N10=0,"n.a.",100*'16_Y'!G8/$N10)</f>
        <v>5.2683355398451219</v>
      </c>
      <c r="I10" s="12">
        <f>IF($N10=0,"n.a.",100*'16_Y'!H8/$N10)</f>
        <v>5.4771667423153936</v>
      </c>
      <c r="J10" s="14">
        <f t="shared" si="0"/>
        <v>74.047148249257319</v>
      </c>
      <c r="K10" s="16">
        <f t="shared" si="1"/>
        <v>100.00000000000001</v>
      </c>
      <c r="L10" s="4"/>
      <c r="M10" s="8" t="str">
        <f t="shared" si="2"/>
        <v>Comércio</v>
      </c>
      <c r="N10" s="9">
        <f>SUM('15_Z'!B8:M8,'16_Y'!B8:H8)</f>
        <v>9952.0257097064186</v>
      </c>
    </row>
    <row r="11" spans="1:14" ht="32.1" customHeight="1" x14ac:dyDescent="0.25">
      <c r="A11" s="8" t="str">
        <f>MID('15_Z'!A9,6,200)</f>
        <v>Transporte, armazenagem e correio</v>
      </c>
      <c r="B11" s="13">
        <f>IF($N11=0,"n.a.",100*SUM('15_Z'!B9:M9)/$N11)</f>
        <v>51.83227634318709</v>
      </c>
      <c r="C11" s="10">
        <f>IF($N11=0,"n.a.",100*'16_Y'!B9/$N11)</f>
        <v>1.7561647807260794</v>
      </c>
      <c r="D11" s="10">
        <f>IF($N11=0,"n.a.",100*'16_Y'!C9/$N11)</f>
        <v>2.7472703759795998</v>
      </c>
      <c r="E11" s="10">
        <f>IF($N11=0,"n.a.",100*'16_Y'!D9/$N11)</f>
        <v>0.1497343529547564</v>
      </c>
      <c r="F11" s="10">
        <f>IF($N11=0,"n.a.",100*'16_Y'!E9/$N11)</f>
        <v>41.14091451517691</v>
      </c>
      <c r="G11" s="10">
        <f>IF($N11=0,"n.a.",100*'16_Y'!F9/$N11)</f>
        <v>9.100668532126871E-2</v>
      </c>
      <c r="H11" s="10">
        <f>IF($N11=0,"n.a.",100*'16_Y'!G9/$N11)</f>
        <v>0.89792584968778999</v>
      </c>
      <c r="I11" s="10">
        <f>IF($N11=0,"n.a.",100*'16_Y'!H9/$N11)</f>
        <v>1.3847070969665058</v>
      </c>
      <c r="J11" s="13">
        <f t="shared" si="0"/>
        <v>48.16772365681291</v>
      </c>
      <c r="K11" s="15">
        <f t="shared" si="1"/>
        <v>100</v>
      </c>
      <c r="L11" s="4"/>
      <c r="M11" s="8" t="str">
        <f t="shared" si="2"/>
        <v>Transporte, armazenagem e correio</v>
      </c>
      <c r="N11" s="9">
        <f>SUM('15_Z'!B9:M9,'16_Y'!B9:H9)</f>
        <v>2653.787913382549</v>
      </c>
    </row>
    <row r="12" spans="1:14" ht="32.1" customHeight="1" x14ac:dyDescent="0.25">
      <c r="A12" s="11" t="str">
        <f>MID('15_Z'!A10,6,200)</f>
        <v>Informação e comunicação</v>
      </c>
      <c r="B12" s="14">
        <f>IF($N12=0,"n.a.",100*SUM('15_Z'!B10:M10)/$N12)</f>
        <v>56.823622775092588</v>
      </c>
      <c r="C12" s="12">
        <f>IF($N12=0,"n.a.",100*'16_Y'!B10/$N12)</f>
        <v>0.17107626329778361</v>
      </c>
      <c r="D12" s="12">
        <f>IF($N12=0,"n.a.",100*'16_Y'!C10/$N12)</f>
        <v>1.1932491829886525</v>
      </c>
      <c r="E12" s="12">
        <f>IF($N12=0,"n.a.",100*'16_Y'!D10/$N12)</f>
        <v>2.7088776613654167E-4</v>
      </c>
      <c r="F12" s="12">
        <f>IF($N12=0,"n.a.",100*'16_Y'!E10/$N12)</f>
        <v>36.901867606442899</v>
      </c>
      <c r="G12" s="12">
        <f>IF($N12=0,"n.a.",100*'16_Y'!F10/$N12)</f>
        <v>2.2209114868356405E-4</v>
      </c>
      <c r="H12" s="12">
        <f>IF($N12=0,"n.a.",100*'16_Y'!G10/$N12)</f>
        <v>4.9300797560079586</v>
      </c>
      <c r="I12" s="12">
        <f>IF($N12=0,"n.a.",100*'16_Y'!H10/$N12)</f>
        <v>-2.0388562744678689E-2</v>
      </c>
      <c r="J12" s="14">
        <f t="shared" si="0"/>
        <v>43.176377224907434</v>
      </c>
      <c r="K12" s="16">
        <f t="shared" si="1"/>
        <v>100.00000000000003</v>
      </c>
      <c r="L12" s="4"/>
      <c r="M12" s="8" t="str">
        <f t="shared" si="2"/>
        <v>Informação e comunicação</v>
      </c>
      <c r="N12" s="9">
        <f>SUM('15_Z'!B10:M10,'16_Y'!B10:H10)</f>
        <v>1487.7511000648005</v>
      </c>
    </row>
    <row r="13" spans="1:14" ht="48" customHeight="1" x14ac:dyDescent="0.25">
      <c r="A13" s="8" t="str">
        <f>MID('15_Z'!A11,6,200)</f>
        <v>Atividades financeiras, de seguros e serviços relacionados</v>
      </c>
      <c r="B13" s="13">
        <f>IF($N13=0,"n.a.",100*SUM('15_Z'!B11:M11)/$N13)</f>
        <v>36.875346802829732</v>
      </c>
      <c r="C13" s="10">
        <f>IF($N13=0,"n.a.",100*'16_Y'!B11/$N13)</f>
        <v>0.35944715127114152</v>
      </c>
      <c r="D13" s="10">
        <f>IF($N13=0,"n.a.",100*'16_Y'!C11/$N13)</f>
        <v>7.8654233092235511E-3</v>
      </c>
      <c r="E13" s="10">
        <f>IF($N13=0,"n.a.",100*'16_Y'!D11/$N13)</f>
        <v>0.13445073661162521</v>
      </c>
      <c r="F13" s="10">
        <f>IF($N13=0,"n.a.",100*'16_Y'!E11/$N13)</f>
        <v>62.601712796467289</v>
      </c>
      <c r="G13" s="10">
        <f>IF($N13=0,"n.a.",100*'16_Y'!F11/$N13)</f>
        <v>8.6661355769962582E-3</v>
      </c>
      <c r="H13" s="10">
        <f>IF($N13=0,"n.a.",100*'16_Y'!G11/$N13)</f>
        <v>1.2550569119931718E-2</v>
      </c>
      <c r="I13" s="10">
        <f>IF($N13=0,"n.a.",100*'16_Y'!H11/$N13)</f>
        <v>-3.9615185936053771E-5</v>
      </c>
      <c r="J13" s="13">
        <f t="shared" si="0"/>
        <v>63.124653197170275</v>
      </c>
      <c r="K13" s="15">
        <f t="shared" si="1"/>
        <v>100</v>
      </c>
      <c r="L13" s="4"/>
      <c r="M13" s="8" t="str">
        <f t="shared" si="2"/>
        <v>Atividades financeiras, de seguros e serviços relacionados</v>
      </c>
      <c r="N13" s="9">
        <f>SUM('15_Z'!B11:M11,'16_Y'!B11:H11)</f>
        <v>2348.2001805888326</v>
      </c>
    </row>
    <row r="14" spans="1:14" ht="20.100000000000001" customHeight="1" x14ac:dyDescent="0.25">
      <c r="A14" s="11" t="str">
        <f>MID('15_Z'!A12,6,200)</f>
        <v>Atividades imobiliárias</v>
      </c>
      <c r="B14" s="14">
        <f>IF($N14=0,"n.a.",100*SUM('15_Z'!B12:M12)/$N14)</f>
        <v>17.396844157380144</v>
      </c>
      <c r="C14" s="12">
        <f>IF($N14=0,"n.a.",100*'16_Y'!B12/$N14)</f>
        <v>0</v>
      </c>
      <c r="D14" s="12">
        <f>IF($N14=0,"n.a.",100*'16_Y'!C12/$N14)</f>
        <v>8.6858813391166245E-2</v>
      </c>
      <c r="E14" s="12">
        <f>IF($N14=0,"n.a.",100*'16_Y'!D12/$N14)</f>
        <v>0</v>
      </c>
      <c r="F14" s="12">
        <f>IF($N14=0,"n.a.",100*'16_Y'!E12/$N14)</f>
        <v>82.516297029228696</v>
      </c>
      <c r="G14" s="12">
        <f>IF($N14=0,"n.a.",100*'16_Y'!F12/$N14)</f>
        <v>0</v>
      </c>
      <c r="H14" s="12">
        <f>IF($N14=0,"n.a.",100*'16_Y'!G12/$N14)</f>
        <v>0</v>
      </c>
      <c r="I14" s="12">
        <f>IF($N14=0,"n.a.",100*'16_Y'!H12/$N14)</f>
        <v>0</v>
      </c>
      <c r="J14" s="14">
        <f t="shared" si="0"/>
        <v>82.603155842619856</v>
      </c>
      <c r="K14" s="16">
        <f t="shared" si="1"/>
        <v>100</v>
      </c>
      <c r="L14" s="4"/>
      <c r="M14" s="8" t="str">
        <f t="shared" si="2"/>
        <v>Atividades imobiliárias</v>
      </c>
      <c r="N14" s="9">
        <f>SUM('15_Z'!B12:M12,'16_Y'!B12:H12)</f>
        <v>4028.7338459680232</v>
      </c>
    </row>
    <row r="15" spans="1:14" ht="32.1" customHeight="1" x14ac:dyDescent="0.25">
      <c r="A15" s="8" t="str">
        <f>MID('15_Z'!A13,6,200)</f>
        <v>Outras atividades de serviços</v>
      </c>
      <c r="B15" s="13">
        <f>IF($N15=0,"n.a.",100*SUM('15_Z'!B13:M13)/$N15)</f>
        <v>33.904429061187322</v>
      </c>
      <c r="C15" s="10">
        <f>IF($N15=0,"n.a.",100*'16_Y'!B13/$N15)</f>
        <v>0.40408272533350864</v>
      </c>
      <c r="D15" s="10">
        <f>IF($N15=0,"n.a.",100*'16_Y'!C13/$N15)</f>
        <v>1.3882571383532392</v>
      </c>
      <c r="E15" s="10">
        <f>IF($N15=0,"n.a.",100*'16_Y'!D13/$N15)</f>
        <v>3.6019458670544902</v>
      </c>
      <c r="F15" s="10">
        <f>IF($N15=0,"n.a.",100*'16_Y'!E13/$N15)</f>
        <v>56.710361865766842</v>
      </c>
      <c r="G15" s="10">
        <f>IF($N15=0,"n.a.",100*'16_Y'!F13/$N15)</f>
        <v>2.952618176741149</v>
      </c>
      <c r="H15" s="10">
        <f>IF($N15=0,"n.a.",100*'16_Y'!G13/$N15)</f>
        <v>1.0254264180960611</v>
      </c>
      <c r="I15" s="10">
        <f>IF($N15=0,"n.a.",100*'16_Y'!H13/$N15)</f>
        <v>1.2878747467388379E-2</v>
      </c>
      <c r="J15" s="13">
        <f t="shared" si="0"/>
        <v>66.095570938812671</v>
      </c>
      <c r="K15" s="15">
        <f t="shared" si="1"/>
        <v>100</v>
      </c>
      <c r="L15" s="4"/>
      <c r="M15" s="8" t="str">
        <f t="shared" si="2"/>
        <v>Outras atividades de serviços</v>
      </c>
      <c r="N15" s="9">
        <f>SUM('15_Z'!B13:M13,'16_Y'!B13:H13)</f>
        <v>9548.9441474105843</v>
      </c>
    </row>
    <row r="16" spans="1:14" ht="60" customHeight="1" x14ac:dyDescent="0.25">
      <c r="A16" s="11" t="str">
        <f>MID('15_Z'!A14,6,200)</f>
        <v>Administração, defesa, saúde e educação públicas e seguridade social</v>
      </c>
      <c r="B16" s="14">
        <f>IF($N16=0,"n.a.",100*SUM('15_Z'!B14:M14)/$N16)</f>
        <v>0.60214205121517528</v>
      </c>
      <c r="C16" s="12">
        <f>IF($N16=0,"n.a.",100*'16_Y'!B14/$N16)</f>
        <v>2.1061306864725359E-2</v>
      </c>
      <c r="D16" s="12">
        <f>IF($N16=0,"n.a.",100*'16_Y'!C14/$N16)</f>
        <v>3.7450530917824215E-2</v>
      </c>
      <c r="E16" s="12">
        <f>IF($N16=0,"n.a.",100*'16_Y'!D14/$N16)</f>
        <v>98.333810976611943</v>
      </c>
      <c r="F16" s="12">
        <f>IF($N16=0,"n.a.",100*'16_Y'!E14/$N16)</f>
        <v>0.93688903843283433</v>
      </c>
      <c r="G16" s="12">
        <f>IF($N16=0,"n.a.",100*'16_Y'!F14/$N16)</f>
        <v>4.3202797280062842E-2</v>
      </c>
      <c r="H16" s="12">
        <f>IF($N16=0,"n.a.",100*'16_Y'!G14/$N16)</f>
        <v>1.8514182261444335E-2</v>
      </c>
      <c r="I16" s="12">
        <f>IF($N16=0,"n.a.",100*'16_Y'!H14/$N16)</f>
        <v>6.9291164159805728E-3</v>
      </c>
      <c r="J16" s="14">
        <f t="shared" si="0"/>
        <v>99.397857948784804</v>
      </c>
      <c r="K16" s="16">
        <f t="shared" si="1"/>
        <v>99.999999999999986</v>
      </c>
      <c r="L16" s="4"/>
      <c r="M16" s="8" t="str">
        <f t="shared" si="2"/>
        <v>Administração, defesa, saúde e educação públicas e seguridade social</v>
      </c>
      <c r="N16" s="9">
        <f>SUM('15_Z'!B14:M14,'16_Y'!B14:H14)</f>
        <v>19652.367050725712</v>
      </c>
    </row>
    <row r="17" spans="1:14" ht="21.95" customHeight="1" x14ac:dyDescent="0.25">
      <c r="A17" s="17" t="s">
        <v>216</v>
      </c>
      <c r="B17" s="18">
        <f>IF($N17=0,"n.a.",100*SUM('15_Z'!B3:M14)/$N17)</f>
        <v>22.817163294902919</v>
      </c>
      <c r="C17" s="18">
        <f>IF($N17=0,"n.a.",100*SUM('16_Y'!B3:B14)/$N17)</f>
        <v>3.6021017912585886</v>
      </c>
      <c r="D17" s="18">
        <f>IF($N17=0,"n.a.",100*SUM('16_Y'!C3:C14)/$N17)</f>
        <v>5.1357741096737328</v>
      </c>
      <c r="E17" s="18">
        <f>IF($N17=0,"n.a.",100*SUM('16_Y'!D3:D14)/$N17)</f>
        <v>26.146178350143348</v>
      </c>
      <c r="F17" s="18">
        <f>IF($N17=0,"n.a.",100*SUM('16_Y'!E3:E14)/$N17)</f>
        <v>32.028763176691086</v>
      </c>
      <c r="G17" s="18">
        <f>IF($N17=0,"n.a.",100*SUM('16_Y'!F3:F14)/$N17)</f>
        <v>0.39116619037932027</v>
      </c>
      <c r="H17" s="18">
        <f>IF($N17=0,"n.a.",100*SUM('16_Y'!G3:G14)/$N17)</f>
        <v>7.7527286958094948</v>
      </c>
      <c r="I17" s="18">
        <f>IF($N17=0,"n.a.",100*SUM('16_Y'!H3:H14)/$N17)</f>
        <v>2.1261243911414982</v>
      </c>
      <c r="J17" s="18">
        <f t="shared" si="0"/>
        <v>77.182836705097074</v>
      </c>
      <c r="K17" s="19">
        <f t="shared" si="1"/>
        <v>100</v>
      </c>
      <c r="L17" s="4"/>
      <c r="M17" s="8" t="str">
        <f t="shared" si="2"/>
        <v>Subtotal do CI</v>
      </c>
      <c r="N17" s="9">
        <f>SUM('15_Z'!B3:M14,'16_Y'!B3:H14)</f>
        <v>75435.544349423129</v>
      </c>
    </row>
    <row r="18" spans="1:14" ht="21.95" customHeight="1" x14ac:dyDescent="0.25">
      <c r="A18" s="11" t="s">
        <v>217</v>
      </c>
      <c r="B18" s="14">
        <f>IF($N18=0,"n.a.",100*SUM('18_Pagamentos'!B4:M4)/$N18)</f>
        <v>30.838882147587292</v>
      </c>
      <c r="C18" s="12">
        <f>IF($N18=0,"n.a.",100*'18_Pagamentos'!N4/$N18)</f>
        <v>0</v>
      </c>
      <c r="D18" s="12">
        <f>IF($N18=0,"n.a.",100*'18_Pagamentos'!O4/$N18)</f>
        <v>8.9296263843383219</v>
      </c>
      <c r="E18" s="12">
        <f>IF($N18=0,"n.a.",100*'18_Pagamentos'!P4/$N18)</f>
        <v>0.77819281725506639</v>
      </c>
      <c r="F18" s="12">
        <f>IF($N18=0,"n.a.",100*'18_Pagamentos'!Q4/$N18)</f>
        <v>50.859706437567652</v>
      </c>
      <c r="G18" s="12">
        <f>IF($N18=0,"n.a.",100*'18_Pagamentos'!R4/$N18)</f>
        <v>0.49125666605532931</v>
      </c>
      <c r="H18" s="12">
        <f>IF($N18=0,"n.a.",100*'18_Pagamentos'!S4/$N18)</f>
        <v>4.301778801342242</v>
      </c>
      <c r="I18" s="12">
        <f>IF($N18=0,"n.a.",100*'18_Pagamentos'!T4/$N18)</f>
        <v>3.8005567458540908</v>
      </c>
      <c r="J18" s="14">
        <f t="shared" si="0"/>
        <v>69.161117852412701</v>
      </c>
      <c r="K18" s="16">
        <f t="shared" si="1"/>
        <v>100</v>
      </c>
      <c r="L18" s="4"/>
      <c r="M18" s="8" t="str">
        <f t="shared" si="2"/>
        <v>Importações RM</v>
      </c>
      <c r="N18" s="9">
        <f>SUM('18_Pagamentos'!B4:T4)</f>
        <v>5274.7477961155191</v>
      </c>
    </row>
    <row r="19" spans="1:14" ht="21.95" customHeight="1" x14ac:dyDescent="0.25">
      <c r="A19" s="8" t="s">
        <v>218</v>
      </c>
      <c r="B19" s="13">
        <f>IF($N19=0,"n.a.",100*SUM('18_Pagamentos'!B3:M3)/$N19)</f>
        <v>30.624168807270646</v>
      </c>
      <c r="C19" s="10">
        <f>IF($N19=0,"n.a.",100*'18_Pagamentos'!N3/$N19)</f>
        <v>0</v>
      </c>
      <c r="D19" s="10">
        <f>IF($N19=0,"n.a.",100*'18_Pagamentos'!O3/$N19)</f>
        <v>7.6870175714609053</v>
      </c>
      <c r="E19" s="10">
        <f>IF($N19=0,"n.a.",100*'18_Pagamentos'!P3/$N19)</f>
        <v>1.9343626725528518</v>
      </c>
      <c r="F19" s="10">
        <f>IF($N19=0,"n.a.",100*'18_Pagamentos'!Q3/$N19)</f>
        <v>52.222178863491543</v>
      </c>
      <c r="G19" s="10">
        <f>IF($N19=0,"n.a.",100*'18_Pagamentos'!R3/$N19)</f>
        <v>0.38803700965077303</v>
      </c>
      <c r="H19" s="10">
        <f>IF($N19=0,"n.a.",100*'18_Pagamentos'!S3/$N19)</f>
        <v>3.8533110869875284</v>
      </c>
      <c r="I19" s="10">
        <f>IF($N19=0,"n.a.",100*'18_Pagamentos'!T3/$N19)</f>
        <v>3.2909239885857442</v>
      </c>
      <c r="J19" s="13">
        <f t="shared" si="0"/>
        <v>69.375831192729351</v>
      </c>
      <c r="K19" s="15">
        <f t="shared" si="1"/>
        <v>100</v>
      </c>
      <c r="L19" s="4"/>
      <c r="M19" s="8" t="str">
        <f t="shared" si="2"/>
        <v>Importações RB</v>
      </c>
      <c r="N19" s="9">
        <f>SUM('18_Pagamentos'!B3:T3)</f>
        <v>32723.621646028925</v>
      </c>
    </row>
    <row r="20" spans="1:14" ht="21.95" customHeight="1" x14ac:dyDescent="0.25">
      <c r="A20" s="20" t="s">
        <v>219</v>
      </c>
      <c r="B20" s="21">
        <f>IF($N20=0,"n.a.",100*SUM('18_Pagamentos'!B6:M6)/$N20)</f>
        <v>33.087173848197537</v>
      </c>
      <c r="C20" s="22">
        <f>IF($N20=0,"n.a.",100*'18_Pagamentos'!N6/$N20)</f>
        <v>0</v>
      </c>
      <c r="D20" s="22">
        <f>IF($N20=0,"n.a.",100*'18_Pagamentos'!O6/$N20)</f>
        <v>9.1203107245558925</v>
      </c>
      <c r="E20" s="22">
        <f>IF($N20=0,"n.a.",100*'18_Pagamentos'!P6/$N20)</f>
        <v>0.49130051346666587</v>
      </c>
      <c r="F20" s="22">
        <f>IF($N20=0,"n.a.",100*'18_Pagamentos'!Q6/$N20)</f>
        <v>47.632748815295955</v>
      </c>
      <c r="G20" s="22">
        <f>IF($N20=0,"n.a.",100*'18_Pagamentos'!R6/$N20)</f>
        <v>0.26235923882332624</v>
      </c>
      <c r="H20" s="22">
        <f>IF($N20=0,"n.a.",100*'18_Pagamentos'!S6/$N20)</f>
        <v>5.9510158173200987</v>
      </c>
      <c r="I20" s="22">
        <f>IF($N20=0,"n.a.",100*'18_Pagamentos'!T6/$N20)</f>
        <v>3.4550910423405119</v>
      </c>
      <c r="J20" s="21">
        <f t="shared" si="0"/>
        <v>66.912826151802449</v>
      </c>
      <c r="K20" s="23">
        <f t="shared" si="1"/>
        <v>99.999999999999986</v>
      </c>
      <c r="L20" s="4"/>
      <c r="M20" s="8" t="str">
        <f t="shared" si="2"/>
        <v>Impostos líq. de subsídios</v>
      </c>
      <c r="N20" s="9">
        <f>SUM('18_Pagamentos'!B6:T6)</f>
        <v>5684.0155831643397</v>
      </c>
    </row>
    <row r="21" spans="1:14" ht="21.95" customHeight="1" x14ac:dyDescent="0.25">
      <c r="A21" s="56" t="s">
        <v>220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4"/>
      <c r="M21" s="4"/>
      <c r="N21" s="4"/>
    </row>
    <row r="22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21.95" customHeight="1" x14ac:dyDescent="0.25">
      <c r="A23" s="57" t="s">
        <v>221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4"/>
      <c r="M23" s="58" t="s">
        <v>222</v>
      </c>
      <c r="N23" s="58"/>
    </row>
    <row r="24" spans="1:14" ht="21.95" customHeight="1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4"/>
      <c r="M24" s="58" t="s">
        <v>223</v>
      </c>
      <c r="N24" s="58"/>
    </row>
    <row r="25" spans="1:1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21.9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2" t="s">
        <v>224</v>
      </c>
      <c r="N26" s="2"/>
    </row>
    <row r="27" spans="1:14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33.950000000000003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2" t="s">
        <v>225</v>
      </c>
      <c r="N28" s="2"/>
    </row>
    <row r="29" spans="1:1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</sheetData>
  <mergeCells count="12">
    <mergeCell ref="A1:K2"/>
    <mergeCell ref="A3:A4"/>
    <mergeCell ref="B3:B4"/>
    <mergeCell ref="C3:J3"/>
    <mergeCell ref="K3:K4"/>
    <mergeCell ref="M26:N26"/>
    <mergeCell ref="M28:N28"/>
    <mergeCell ref="M3:N3"/>
    <mergeCell ref="A21:K21"/>
    <mergeCell ref="A23:K24"/>
    <mergeCell ref="M23:N23"/>
    <mergeCell ref="M24:N24"/>
  </mergeCells>
  <printOptions horizontalCentered="1"/>
  <pageMargins left="0.25" right="0.25" top="0.3" bottom="0.3" header="0.15" footer="0.15"/>
  <pageSetup paperSize="9"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595959"/>
    <pageSetUpPr fitToPage="1"/>
  </sheetPr>
  <dimension ref="A1:N26"/>
  <sheetViews>
    <sheetView showGridLines="0" zoomScale="75" workbookViewId="0">
      <selection activeCell="A25" sqref="A25:N25"/>
    </sheetView>
  </sheetViews>
  <sheetFormatPr defaultRowHeight="15" x14ac:dyDescent="0.25"/>
  <cols>
    <col min="1" max="1" width="36" customWidth="1"/>
    <col min="2" max="13" width="6.42578125" customWidth="1"/>
    <col min="14" max="14" width="8" customWidth="1"/>
  </cols>
  <sheetData>
    <row r="1" spans="1:14" ht="20.100000000000001" customHeight="1" x14ac:dyDescent="0.25">
      <c r="A1" s="64" t="s">
        <v>226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20.100000000000001" customHeigh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18.95" customHeight="1" x14ac:dyDescent="0.25">
      <c r="A3" s="65" t="s">
        <v>202</v>
      </c>
      <c r="B3" s="66" t="s">
        <v>227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7" t="s">
        <v>228</v>
      </c>
    </row>
    <row r="4" spans="1:14" ht="24" customHeight="1" x14ac:dyDescent="0.25">
      <c r="A4" s="65"/>
      <c r="B4" s="25" t="s">
        <v>229</v>
      </c>
      <c r="C4" s="25" t="s">
        <v>230</v>
      </c>
      <c r="D4" s="25" t="s">
        <v>231</v>
      </c>
      <c r="E4" s="25" t="s">
        <v>232</v>
      </c>
      <c r="F4" s="25" t="s">
        <v>233</v>
      </c>
      <c r="G4" s="25" t="s">
        <v>194</v>
      </c>
      <c r="H4" s="25" t="s">
        <v>234</v>
      </c>
      <c r="I4" s="25" t="s">
        <v>235</v>
      </c>
      <c r="J4" s="25" t="s">
        <v>236</v>
      </c>
      <c r="K4" s="25" t="s">
        <v>237</v>
      </c>
      <c r="L4" s="25" t="s">
        <v>238</v>
      </c>
      <c r="M4" s="25" t="s">
        <v>239</v>
      </c>
      <c r="N4" s="67"/>
    </row>
    <row r="5" spans="1:14" ht="18" customHeight="1" x14ac:dyDescent="0.25">
      <c r="A5" s="26" t="str">
        <f>'20_Tabela1'!A5&amp;" (Ag)"</f>
        <v>Agropecuária (Ag)</v>
      </c>
      <c r="B5" s="27">
        <f>IF('20_Tabela1'!$N5=0,"n.a.",100*'15_Z'!B3/'20_Tabela1'!$N5)</f>
        <v>3.4209404085480326</v>
      </c>
      <c r="C5" s="27">
        <f>IF('20_Tabela1'!$N5=0,"n.a.",100*'15_Z'!C3/'20_Tabela1'!$N5)</f>
        <v>3.722427749189087E-3</v>
      </c>
      <c r="D5" s="27">
        <f>IF('20_Tabela1'!$N5=0,"n.a.",100*'15_Z'!D3/'20_Tabela1'!$N5)</f>
        <v>15.768053495572481</v>
      </c>
      <c r="E5" s="27">
        <f>IF('20_Tabela1'!$N5=0,"n.a.",100*'15_Z'!E3/'20_Tabela1'!$N5)</f>
        <v>3.868779811250482E-2</v>
      </c>
      <c r="F5" s="27">
        <f>IF('20_Tabela1'!$N5=0,"n.a.",100*'15_Z'!F3/'20_Tabela1'!$N5)</f>
        <v>0.32559856054773062</v>
      </c>
      <c r="G5" s="27">
        <f>IF('20_Tabela1'!$N5=0,"n.a.",100*'15_Z'!G3/'20_Tabela1'!$N5)</f>
        <v>0.67960577553235091</v>
      </c>
      <c r="H5" s="27">
        <f>IF('20_Tabela1'!$N5=0,"n.a.",100*'15_Z'!H3/'20_Tabela1'!$N5)</f>
        <v>4.4765791531709898E-2</v>
      </c>
      <c r="I5" s="27">
        <f>IF('20_Tabela1'!$N5=0,"n.a.",100*'15_Z'!I3/'20_Tabela1'!$N5)</f>
        <v>8.9859143937561E-3</v>
      </c>
      <c r="J5" s="27">
        <f>IF('20_Tabela1'!$N5=0,"n.a.",100*'15_Z'!J3/'20_Tabela1'!$N5)</f>
        <v>2.6711306000174323E-3</v>
      </c>
      <c r="K5" s="27">
        <f>IF('20_Tabela1'!$N5=0,"n.a.",100*'15_Z'!K3/'20_Tabela1'!$N5)</f>
        <v>4.9623625941478174E-3</v>
      </c>
      <c r="L5" s="27">
        <f>IF('20_Tabela1'!$N5=0,"n.a.",100*'15_Z'!L3/'20_Tabela1'!$N5)</f>
        <v>0.7366201788258393</v>
      </c>
      <c r="M5" s="27">
        <f>IF('20_Tabela1'!$N5=0,"n.a.",100*'15_Z'!M3/'20_Tabela1'!$N5)</f>
        <v>0.55325732552577178</v>
      </c>
      <c r="N5" s="30">
        <f>IF('20_Tabela1'!$N5=0,"n.a.",SUM(B5:M5))</f>
        <v>21.587871169533532</v>
      </c>
    </row>
    <row r="6" spans="1:14" ht="18" customHeight="1" x14ac:dyDescent="0.25">
      <c r="A6" s="28" t="str">
        <f>'20_Tabela1'!A6&amp;" (Ie)"</f>
        <v>Indústrias extrativas (Ie)</v>
      </c>
      <c r="B6" s="29">
        <f>IF('20_Tabela1'!$N6=0,"n.a.",100*'15_Z'!B4/'20_Tabela1'!$N6)</f>
        <v>2.1200843737073995</v>
      </c>
      <c r="C6" s="29">
        <f>IF('20_Tabela1'!$N6=0,"n.a.",100*'15_Z'!C4/'20_Tabela1'!$N6)</f>
        <v>1.1266752841024763</v>
      </c>
      <c r="D6" s="29">
        <f>IF('20_Tabela1'!$N6=0,"n.a.",100*'15_Z'!D4/'20_Tabela1'!$N6)</f>
        <v>33.936521562560493</v>
      </c>
      <c r="E6" s="29">
        <f>IF('20_Tabela1'!$N6=0,"n.a.",100*'15_Z'!E4/'20_Tabela1'!$N6)</f>
        <v>0.9283586937001661</v>
      </c>
      <c r="F6" s="29">
        <f>IF('20_Tabela1'!$N6=0,"n.a.",100*'15_Z'!F4/'20_Tabela1'!$N6)</f>
        <v>23.001520330650695</v>
      </c>
      <c r="G6" s="29">
        <f>IF('20_Tabela1'!$N6=0,"n.a.",100*'15_Z'!G4/'20_Tabela1'!$N6)</f>
        <v>0.18805257555389759</v>
      </c>
      <c r="H6" s="29">
        <f>IF('20_Tabela1'!$N6=0,"n.a.",100*'15_Z'!H4/'20_Tabela1'!$N6)</f>
        <v>4.5019548674863311E-2</v>
      </c>
      <c r="I6" s="29">
        <f>IF('20_Tabela1'!$N6=0,"n.a.",100*'15_Z'!I4/'20_Tabela1'!$N6)</f>
        <v>4.3462942204064098E-3</v>
      </c>
      <c r="J6" s="29">
        <f>IF('20_Tabela1'!$N6=0,"n.a.",100*'15_Z'!J4/'20_Tabela1'!$N6)</f>
        <v>2.7026531625690153E-3</v>
      </c>
      <c r="K6" s="29">
        <f>IF('20_Tabela1'!$N6=0,"n.a.",100*'15_Z'!K4/'20_Tabela1'!$N6)</f>
        <v>1.3348329164633073</v>
      </c>
      <c r="L6" s="29">
        <f>IF('20_Tabela1'!$N6=0,"n.a.",100*'15_Z'!L4/'20_Tabela1'!$N6)</f>
        <v>0.16723146569568381</v>
      </c>
      <c r="M6" s="29">
        <f>IF('20_Tabela1'!$N6=0,"n.a.",100*'15_Z'!M4/'20_Tabela1'!$N6)</f>
        <v>0.51038725014306652</v>
      </c>
      <c r="N6" s="31">
        <f>IF('20_Tabela1'!$N6=0,"n.a.",SUM(B6:M6))</f>
        <v>63.365732948635028</v>
      </c>
    </row>
    <row r="7" spans="1:14" ht="18" customHeight="1" x14ac:dyDescent="0.25">
      <c r="A7" s="26" t="str">
        <f>'20_Tabela1'!A7&amp;" (It)"</f>
        <v>Indústrias de transformação (It)</v>
      </c>
      <c r="B7" s="27">
        <f>IF('20_Tabela1'!$N7=0,"n.a.",100*'15_Z'!B5/'20_Tabela1'!$N7)</f>
        <v>4.869441721625944</v>
      </c>
      <c r="C7" s="27">
        <f>IF('20_Tabela1'!$N7=0,"n.a.",100*'15_Z'!C5/'20_Tabela1'!$N7)</f>
        <v>0.12559633383983881</v>
      </c>
      <c r="D7" s="27">
        <f>IF('20_Tabela1'!$N7=0,"n.a.",100*'15_Z'!D5/'20_Tabela1'!$N7)</f>
        <v>7.5617266952819824</v>
      </c>
      <c r="E7" s="27">
        <f>IF('20_Tabela1'!$N7=0,"n.a.",100*'15_Z'!E5/'20_Tabela1'!$N7)</f>
        <v>0.87490224041530273</v>
      </c>
      <c r="F7" s="27">
        <f>IF('20_Tabela1'!$N7=0,"n.a.",100*'15_Z'!F5/'20_Tabela1'!$N7)</f>
        <v>4.2402842065786768</v>
      </c>
      <c r="G7" s="27">
        <f>IF('20_Tabela1'!$N7=0,"n.a.",100*'15_Z'!G5/'20_Tabela1'!$N7)</f>
        <v>1.9542564204168078</v>
      </c>
      <c r="H7" s="27">
        <f>IF('20_Tabela1'!$N7=0,"n.a.",100*'15_Z'!H5/'20_Tabela1'!$N7)</f>
        <v>1.6061436115188734</v>
      </c>
      <c r="I7" s="27">
        <f>IF('20_Tabela1'!$N7=0,"n.a.",100*'15_Z'!I5/'20_Tabela1'!$N7)</f>
        <v>0.13121940851939187</v>
      </c>
      <c r="J7" s="27">
        <f>IF('20_Tabela1'!$N7=0,"n.a.",100*'15_Z'!J5/'20_Tabela1'!$N7)</f>
        <v>7.0006453575207031E-2</v>
      </c>
      <c r="K7" s="27">
        <f>IF('20_Tabela1'!$N7=0,"n.a.",100*'15_Z'!K5/'20_Tabela1'!$N7)</f>
        <v>0.11364174074800683</v>
      </c>
      <c r="L7" s="27">
        <f>IF('20_Tabela1'!$N7=0,"n.a.",100*'15_Z'!L5/'20_Tabela1'!$N7)</f>
        <v>2.5683502849783202</v>
      </c>
      <c r="M7" s="27">
        <f>IF('20_Tabela1'!$N7=0,"n.a.",100*'15_Z'!M5/'20_Tabela1'!$N7)</f>
        <v>2.0287287276509485</v>
      </c>
      <c r="N7" s="30">
        <f>IF('20_Tabela1'!$N7=0,"n.a.",SUM(B7:M7))</f>
        <v>26.144297845149303</v>
      </c>
    </row>
    <row r="8" spans="1:14" ht="30" customHeight="1" x14ac:dyDescent="0.25">
      <c r="A8" s="28" t="str">
        <f>'20_Tabela1'!A8&amp;" (Egr)"</f>
        <v>Eletricidade e gás, água, esgoto e gestão de resíduos (Egr)</v>
      </c>
      <c r="B8" s="29">
        <f>IF('20_Tabela1'!$N8=0,"n.a.",100*'15_Z'!B6/'20_Tabela1'!$N8)</f>
        <v>3.3553239053703194</v>
      </c>
      <c r="C8" s="29">
        <f>IF('20_Tabela1'!$N8=0,"n.a.",100*'15_Z'!C6/'20_Tabela1'!$N8)</f>
        <v>0.17138183126477677</v>
      </c>
      <c r="D8" s="29">
        <f>IF('20_Tabela1'!$N8=0,"n.a.",100*'15_Z'!D6/'20_Tabela1'!$N8)</f>
        <v>2.9752724402109356</v>
      </c>
      <c r="E8" s="29">
        <f>IF('20_Tabela1'!$N8=0,"n.a.",100*'15_Z'!E6/'20_Tabela1'!$N8)</f>
        <v>32.09062502064603</v>
      </c>
      <c r="F8" s="29">
        <f>IF('20_Tabela1'!$N8=0,"n.a.",100*'15_Z'!F6/'20_Tabela1'!$N8)</f>
        <v>0.24282479122849299</v>
      </c>
      <c r="G8" s="29">
        <f>IF('20_Tabela1'!$N8=0,"n.a.",100*'15_Z'!G6/'20_Tabela1'!$N8)</f>
        <v>5.6541446042750776</v>
      </c>
      <c r="H8" s="29">
        <f>IF('20_Tabela1'!$N8=0,"n.a.",100*'15_Z'!H6/'20_Tabela1'!$N8)</f>
        <v>0.57994501132138443</v>
      </c>
      <c r="I8" s="29">
        <f>IF('20_Tabela1'!$N8=0,"n.a.",100*'15_Z'!I6/'20_Tabela1'!$N8)</f>
        <v>0.47905084453674973</v>
      </c>
      <c r="J8" s="29">
        <f>IF('20_Tabela1'!$N8=0,"n.a.",100*'15_Z'!J6/'20_Tabela1'!$N8)</f>
        <v>0.28746782564401707</v>
      </c>
      <c r="K8" s="29">
        <f>IF('20_Tabela1'!$N8=0,"n.a.",100*'15_Z'!K6/'20_Tabela1'!$N8)</f>
        <v>0.15820405933387885</v>
      </c>
      <c r="L8" s="29">
        <f>IF('20_Tabela1'!$N8=0,"n.a.",100*'15_Z'!L6/'20_Tabela1'!$N8)</f>
        <v>4.7575460396333797</v>
      </c>
      <c r="M8" s="29">
        <f>IF('20_Tabela1'!$N8=0,"n.a.",100*'15_Z'!M6/'20_Tabela1'!$N8)</f>
        <v>8.2974351759137672</v>
      </c>
      <c r="N8" s="31">
        <f>IF('20_Tabela1'!$N8=0,"n.a.",SUM(B8:M8))</f>
        <v>59.049221549378807</v>
      </c>
    </row>
    <row r="9" spans="1:14" ht="18" customHeight="1" x14ac:dyDescent="0.25">
      <c r="A9" s="26" t="str">
        <f>'20_Tabela1'!A9&amp;" (C)"</f>
        <v>Construção (C)</v>
      </c>
      <c r="B9" s="27">
        <f>IF('20_Tabela1'!$N9=0,"n.a.",100*'15_Z'!B7/'20_Tabela1'!$N9)</f>
        <v>6.2629561580045567E-2</v>
      </c>
      <c r="C9" s="27">
        <f>IF('20_Tabela1'!$N9=0,"n.a.",100*'15_Z'!C7/'20_Tabela1'!$N9)</f>
        <v>2.8138587825517989E-4</v>
      </c>
      <c r="D9" s="27">
        <f>IF('20_Tabela1'!$N9=0,"n.a.",100*'15_Z'!D7/'20_Tabela1'!$N9)</f>
        <v>3.9135426127203485E-2</v>
      </c>
      <c r="E9" s="27">
        <f>IF('20_Tabela1'!$N9=0,"n.a.",100*'15_Z'!E7/'20_Tabela1'!$N9)</f>
        <v>1.2920225387212596</v>
      </c>
      <c r="F9" s="27">
        <f>IF('20_Tabela1'!$N9=0,"n.a.",100*'15_Z'!F7/'20_Tabela1'!$N9)</f>
        <v>11.51698934387044</v>
      </c>
      <c r="G9" s="27">
        <f>IF('20_Tabela1'!$N9=0,"n.a.",100*'15_Z'!G7/'20_Tabela1'!$N9)</f>
        <v>0.19203102848621748</v>
      </c>
      <c r="H9" s="27">
        <f>IF('20_Tabela1'!$N9=0,"n.a.",100*'15_Z'!H7/'20_Tabela1'!$N9)</f>
        <v>0.13779962029902551</v>
      </c>
      <c r="I9" s="27">
        <f>IF('20_Tabela1'!$N9=0,"n.a.",100*'15_Z'!I7/'20_Tabela1'!$N9)</f>
        <v>0.55624360811712359</v>
      </c>
      <c r="J9" s="27">
        <f>IF('20_Tabela1'!$N9=0,"n.a.",100*'15_Z'!J7/'20_Tabela1'!$N9)</f>
        <v>8.1520541049106623E-2</v>
      </c>
      <c r="K9" s="27">
        <f>IF('20_Tabela1'!$N9=0,"n.a.",100*'15_Z'!K7/'20_Tabela1'!$N9)</f>
        <v>0.17240275731452995</v>
      </c>
      <c r="L9" s="27">
        <f>IF('20_Tabela1'!$N9=0,"n.a.",100*'15_Z'!L7/'20_Tabela1'!$N9)</f>
        <v>0.41224337661542992</v>
      </c>
      <c r="M9" s="27">
        <f>IF('20_Tabela1'!$N9=0,"n.a.",100*'15_Z'!M7/'20_Tabela1'!$N9)</f>
        <v>5.935231018578417</v>
      </c>
      <c r="N9" s="30">
        <f>IF('20_Tabela1'!$N9=0,"n.a.",SUM(B9:M9))</f>
        <v>20.398530206637055</v>
      </c>
    </row>
    <row r="10" spans="1:14" ht="18" customHeight="1" x14ac:dyDescent="0.25">
      <c r="A10" s="28" t="str">
        <f>'20_Tabela1'!A10&amp;" (Com)"</f>
        <v>Comércio (Com)</v>
      </c>
      <c r="B10" s="29">
        <f>IF('20_Tabela1'!$N10=0,"n.a.",100*'15_Z'!B8/'20_Tabela1'!$N10)</f>
        <v>5.3414405962008722</v>
      </c>
      <c r="C10" s="29">
        <f>IF('20_Tabela1'!$N10=0,"n.a.",100*'15_Z'!C8/'20_Tabela1'!$N10)</f>
        <v>0.1341858827594046</v>
      </c>
      <c r="D10" s="29">
        <f>IF('20_Tabela1'!$N10=0,"n.a.",100*'15_Z'!D8/'20_Tabela1'!$N10)</f>
        <v>8.3624266663904798</v>
      </c>
      <c r="E10" s="29">
        <f>IF('20_Tabela1'!$N10=0,"n.a.",100*'15_Z'!E8/'20_Tabela1'!$N10)</f>
        <v>0.81595919778941139</v>
      </c>
      <c r="F10" s="29">
        <f>IF('20_Tabela1'!$N10=0,"n.a.",100*'15_Z'!F8/'20_Tabela1'!$N10)</f>
        <v>4.4796141439872672</v>
      </c>
      <c r="G10" s="29">
        <f>IF('20_Tabela1'!$N10=0,"n.a.",100*'15_Z'!G8/'20_Tabela1'!$N10)</f>
        <v>1.225020097997046</v>
      </c>
      <c r="H10" s="29">
        <f>IF('20_Tabela1'!$N10=0,"n.a.",100*'15_Z'!H8/'20_Tabela1'!$N10)</f>
        <v>1.0554571785180724</v>
      </c>
      <c r="I10" s="29">
        <f>IF('20_Tabela1'!$N10=0,"n.a.",100*'15_Z'!I8/'20_Tabela1'!$N10)</f>
        <v>-7.096599268407805E-2</v>
      </c>
      <c r="J10" s="29">
        <f>IF('20_Tabela1'!$N10=0,"n.a.",100*'15_Z'!J8/'20_Tabela1'!$N10)</f>
        <v>0.12120511301743706</v>
      </c>
      <c r="K10" s="29">
        <f>IF('20_Tabela1'!$N10=0,"n.a.",100*'15_Z'!K8/'20_Tabela1'!$N10)</f>
        <v>0.12630375936695615</v>
      </c>
      <c r="L10" s="29">
        <f>IF('20_Tabela1'!$N10=0,"n.a.",100*'15_Z'!L8/'20_Tabela1'!$N10)</f>
        <v>2.6982208319996883</v>
      </c>
      <c r="M10" s="29">
        <f>IF('20_Tabela1'!$N10=0,"n.a.",100*'15_Z'!M8/'20_Tabela1'!$N10)</f>
        <v>1.6639842754001302</v>
      </c>
      <c r="N10" s="31">
        <f>IF('20_Tabela1'!$N10=0,"n.a.",SUM(B10:M10))</f>
        <v>25.952851750742685</v>
      </c>
    </row>
    <row r="11" spans="1:14" ht="30" customHeight="1" x14ac:dyDescent="0.25">
      <c r="A11" s="26" t="str">
        <f>'20_Tabela1'!A11&amp;" (Tr)"</f>
        <v>Transporte, armazenagem e correio (Tr)</v>
      </c>
      <c r="B11" s="27">
        <f>IF('20_Tabela1'!$N11=0,"n.a.",100*'15_Z'!B9/'20_Tabela1'!$N11)</f>
        <v>3.8447320164023435</v>
      </c>
      <c r="C11" s="27">
        <f>IF('20_Tabela1'!$N11=0,"n.a.",100*'15_Z'!C9/'20_Tabela1'!$N11)</f>
        <v>0.20420697128552248</v>
      </c>
      <c r="D11" s="27">
        <f>IF('20_Tabela1'!$N11=0,"n.a.",100*'15_Z'!D9/'20_Tabela1'!$N11)</f>
        <v>13.034311945657469</v>
      </c>
      <c r="E11" s="27">
        <f>IF('20_Tabela1'!$N11=0,"n.a.",100*'15_Z'!E9/'20_Tabela1'!$N11)</f>
        <v>0.78993138759826464</v>
      </c>
      <c r="F11" s="27">
        <f>IF('20_Tabela1'!$N11=0,"n.a.",100*'15_Z'!F9/'20_Tabela1'!$N11)</f>
        <v>2.0857323261991731</v>
      </c>
      <c r="G11" s="27">
        <f>IF('20_Tabela1'!$N11=0,"n.a.",100*'15_Z'!G9/'20_Tabela1'!$N11)</f>
        <v>12.656407793784</v>
      </c>
      <c r="H11" s="27">
        <f>IF('20_Tabela1'!$N11=0,"n.a.",100*'15_Z'!H9/'20_Tabela1'!$N11)</f>
        <v>8.0513162244612975</v>
      </c>
      <c r="I11" s="27">
        <f>IF('20_Tabela1'!$N11=0,"n.a.",100*'15_Z'!I9/'20_Tabela1'!$N11)</f>
        <v>0.37190680695796796</v>
      </c>
      <c r="J11" s="27">
        <f>IF('20_Tabela1'!$N11=0,"n.a.",100*'15_Z'!J9/'20_Tabela1'!$N11)</f>
        <v>0.77619267247089196</v>
      </c>
      <c r="K11" s="27">
        <f>IF('20_Tabela1'!$N11=0,"n.a.",100*'15_Z'!K9/'20_Tabela1'!$N11)</f>
        <v>0.10130640370943715</v>
      </c>
      <c r="L11" s="27">
        <f>IF('20_Tabela1'!$N11=0,"n.a.",100*'15_Z'!L9/'20_Tabela1'!$N11)</f>
        <v>4.0245941873391491</v>
      </c>
      <c r="M11" s="27">
        <f>IF('20_Tabela1'!$N11=0,"n.a.",100*'15_Z'!M9/'20_Tabela1'!$N11)</f>
        <v>5.8916376073215817</v>
      </c>
      <c r="N11" s="30">
        <f>IF('20_Tabela1'!$N11=0,"n.a.",SUM(B11:M11))</f>
        <v>51.832276343187097</v>
      </c>
    </row>
    <row r="12" spans="1:14" ht="18" customHeight="1" x14ac:dyDescent="0.25">
      <c r="A12" s="28" t="str">
        <f>'20_Tabela1'!A12&amp;" (Ic)"</f>
        <v>Informação e comunicação (Ic)</v>
      </c>
      <c r="B12" s="29">
        <f>IF('20_Tabela1'!$N12=0,"n.a.",100*'15_Z'!B10/'20_Tabela1'!$N12)</f>
        <v>2.7619562197374607E-2</v>
      </c>
      <c r="C12" s="29">
        <f>IF('20_Tabela1'!$N12=0,"n.a.",100*'15_Z'!C10/'20_Tabela1'!$N12)</f>
        <v>1.0232815096720181E-2</v>
      </c>
      <c r="D12" s="29">
        <f>IF('20_Tabela1'!$N12=0,"n.a.",100*'15_Z'!D10/'20_Tabela1'!$N12)</f>
        <v>2.1816919322457151</v>
      </c>
      <c r="E12" s="29">
        <f>IF('20_Tabela1'!$N12=0,"n.a.",100*'15_Z'!E10/'20_Tabela1'!$N12)</f>
        <v>1.8399681741065939</v>
      </c>
      <c r="F12" s="29">
        <f>IF('20_Tabela1'!$N12=0,"n.a.",100*'15_Z'!F10/'20_Tabela1'!$N12)</f>
        <v>0.74896806191224041</v>
      </c>
      <c r="G12" s="29">
        <f>IF('20_Tabela1'!$N12=0,"n.a.",100*'15_Z'!G10/'20_Tabela1'!$N12)</f>
        <v>6.8992196261539256</v>
      </c>
      <c r="H12" s="29">
        <f>IF('20_Tabela1'!$N12=0,"n.a.",100*'15_Z'!H10/'20_Tabela1'!$N12)</f>
        <v>1.4217570472476193</v>
      </c>
      <c r="I12" s="29">
        <f>IF('20_Tabela1'!$N12=0,"n.a.",100*'15_Z'!I10/'20_Tabela1'!$N12)</f>
        <v>11.693779788887863</v>
      </c>
      <c r="J12" s="29">
        <f>IF('20_Tabela1'!$N12=0,"n.a.",100*'15_Z'!J10/'20_Tabela1'!$N12)</f>
        <v>4.7110920460876828</v>
      </c>
      <c r="K12" s="29">
        <f>IF('20_Tabela1'!$N12=0,"n.a.",100*'15_Z'!K10/'20_Tabela1'!$N12)</f>
        <v>0.26758665850733232</v>
      </c>
      <c r="L12" s="29">
        <f>IF('20_Tabela1'!$N12=0,"n.a.",100*'15_Z'!L10/'20_Tabela1'!$N12)</f>
        <v>9.157710285788097</v>
      </c>
      <c r="M12" s="29">
        <f>IF('20_Tabela1'!$N12=0,"n.a.",100*'15_Z'!M10/'20_Tabela1'!$N12)</f>
        <v>17.863996776861423</v>
      </c>
      <c r="N12" s="31">
        <f>IF('20_Tabela1'!$N12=0,"n.a.",SUM(B12:M12))</f>
        <v>56.823622775092588</v>
      </c>
    </row>
    <row r="13" spans="1:14" ht="36" customHeight="1" x14ac:dyDescent="0.25">
      <c r="A13" s="26" t="str">
        <f>'20_Tabela1'!A13&amp;" (Af)"</f>
        <v>Atividades financeiras, de seguros e serviços relacionados (Af)</v>
      </c>
      <c r="B13" s="27">
        <f>IF('20_Tabela1'!$N13=0,"n.a.",100*'15_Z'!B11/'20_Tabela1'!$N13)</f>
        <v>2.0890590132452078</v>
      </c>
      <c r="C13" s="27">
        <f>IF('20_Tabela1'!$N13=0,"n.a.",100*'15_Z'!C11/'20_Tabela1'!$N13)</f>
        <v>0.11742514803763127</v>
      </c>
      <c r="D13" s="27">
        <f>IF('20_Tabela1'!$N13=0,"n.a.",100*'15_Z'!D11/'20_Tabela1'!$N13)</f>
        <v>2.9508044994864395</v>
      </c>
      <c r="E13" s="27">
        <f>IF('20_Tabela1'!$N13=0,"n.a.",100*'15_Z'!E11/'20_Tabela1'!$N13)</f>
        <v>2.112238810745211</v>
      </c>
      <c r="F13" s="27">
        <f>IF('20_Tabela1'!$N13=0,"n.a.",100*'15_Z'!F11/'20_Tabela1'!$N13)</f>
        <v>1.5592200266307608</v>
      </c>
      <c r="G13" s="27">
        <f>IF('20_Tabela1'!$N13=0,"n.a.",100*'15_Z'!G11/'20_Tabela1'!$N13)</f>
        <v>4.1221774445983748</v>
      </c>
      <c r="H13" s="27">
        <f>IF('20_Tabela1'!$N13=0,"n.a.",100*'15_Z'!H11/'20_Tabela1'!$N13)</f>
        <v>1.1628323932207769</v>
      </c>
      <c r="I13" s="27">
        <f>IF('20_Tabela1'!$N13=0,"n.a.",100*'15_Z'!I11/'20_Tabela1'!$N13)</f>
        <v>1.1081360994667935</v>
      </c>
      <c r="J13" s="27">
        <f>IF('20_Tabela1'!$N13=0,"n.a.",100*'15_Z'!J11/'20_Tabela1'!$N13)</f>
        <v>5.8833745688899999</v>
      </c>
      <c r="K13" s="27">
        <f>IF('20_Tabela1'!$N13=0,"n.a.",100*'15_Z'!K11/'20_Tabela1'!$N13)</f>
        <v>2.4588188183281745</v>
      </c>
      <c r="L13" s="27">
        <f>IF('20_Tabela1'!$N13=0,"n.a.",100*'15_Z'!L11/'20_Tabela1'!$N13)</f>
        <v>2.4934785232820493</v>
      </c>
      <c r="M13" s="27">
        <f>IF('20_Tabela1'!$N13=0,"n.a.",100*'15_Z'!M11/'20_Tabela1'!$N13)</f>
        <v>10.81778145689831</v>
      </c>
      <c r="N13" s="30">
        <f>IF('20_Tabela1'!$N13=0,"n.a.",SUM(B13:M13))</f>
        <v>36.875346802829732</v>
      </c>
    </row>
    <row r="14" spans="1:14" ht="18" customHeight="1" x14ac:dyDescent="0.25">
      <c r="A14" s="28" t="str">
        <f>'20_Tabela1'!A14&amp;" (Ai)"</f>
        <v>Atividades imobiliárias (Ai)</v>
      </c>
      <c r="B14" s="29">
        <f>IF('20_Tabela1'!$N14=0,"n.a.",100*'15_Z'!B12/'20_Tabela1'!$N14)</f>
        <v>5.2622098611848998E-3</v>
      </c>
      <c r="C14" s="29">
        <f>IF('20_Tabela1'!$N14=0,"n.a.",100*'15_Z'!C12/'20_Tabela1'!$N14)</f>
        <v>1.0242265605882738E-2</v>
      </c>
      <c r="D14" s="29">
        <f>IF('20_Tabela1'!$N14=0,"n.a.",100*'15_Z'!D12/'20_Tabela1'!$N14)</f>
        <v>0.48688898447011159</v>
      </c>
      <c r="E14" s="29">
        <f>IF('20_Tabela1'!$N14=0,"n.a.",100*'15_Z'!E12/'20_Tabela1'!$N14)</f>
        <v>0.52031620388222133</v>
      </c>
      <c r="F14" s="29">
        <f>IF('20_Tabela1'!$N14=0,"n.a.",100*'15_Z'!F12/'20_Tabela1'!$N14)</f>
        <v>0.30360463654588515</v>
      </c>
      <c r="G14" s="29">
        <f>IF('20_Tabela1'!$N14=0,"n.a.",100*'15_Z'!G12/'20_Tabela1'!$N14)</f>
        <v>8.282523122132984</v>
      </c>
      <c r="H14" s="29">
        <f>IF('20_Tabela1'!$N14=0,"n.a.",100*'15_Z'!H12/'20_Tabela1'!$N14)</f>
        <v>1.0112675119052452</v>
      </c>
      <c r="I14" s="29">
        <f>IF('20_Tabela1'!$N14=0,"n.a.",100*'15_Z'!I12/'20_Tabela1'!$N14)</f>
        <v>0.56638970459147053</v>
      </c>
      <c r="J14" s="29">
        <f>IF('20_Tabela1'!$N14=0,"n.a.",100*'15_Z'!J12/'20_Tabela1'!$N14)</f>
        <v>0.50693386001143093</v>
      </c>
      <c r="K14" s="29">
        <f>IF('20_Tabela1'!$N14=0,"n.a.",100*'15_Z'!K12/'20_Tabela1'!$N14)</f>
        <v>0.28188022768920601</v>
      </c>
      <c r="L14" s="29">
        <f>IF('20_Tabela1'!$N14=0,"n.a.",100*'15_Z'!L12/'20_Tabela1'!$N14)</f>
        <v>4.2443432979259459</v>
      </c>
      <c r="M14" s="29">
        <f>IF('20_Tabela1'!$N14=0,"n.a.",100*'15_Z'!M12/'20_Tabela1'!$N14)</f>
        <v>1.1771921327585715</v>
      </c>
      <c r="N14" s="31">
        <f>IF('20_Tabela1'!$N14=0,"n.a.",SUM(B14:M14))</f>
        <v>17.396844157380137</v>
      </c>
    </row>
    <row r="15" spans="1:14" ht="30" customHeight="1" x14ac:dyDescent="0.25">
      <c r="A15" s="26" t="str">
        <f>'20_Tabela1'!A15&amp;" (Os)"</f>
        <v>Outras atividades de serviços (Os)</v>
      </c>
      <c r="B15" s="27">
        <f>IF('20_Tabela1'!$N15=0,"n.a.",100*'15_Z'!B13/'20_Tabela1'!$N15)</f>
        <v>0.2814646891528127</v>
      </c>
      <c r="C15" s="27">
        <f>IF('20_Tabela1'!$N15=0,"n.a.",100*'15_Z'!C13/'20_Tabela1'!$N15)</f>
        <v>8.0271391063282752E-2</v>
      </c>
      <c r="D15" s="27">
        <f>IF('20_Tabela1'!$N15=0,"n.a.",100*'15_Z'!D13/'20_Tabela1'!$N15)</f>
        <v>2.9483595719635369</v>
      </c>
      <c r="E15" s="27">
        <f>IF('20_Tabela1'!$N15=0,"n.a.",100*'15_Z'!E13/'20_Tabela1'!$N15)</f>
        <v>1.8298878827686906</v>
      </c>
      <c r="F15" s="27">
        <f>IF('20_Tabela1'!$N15=0,"n.a.",100*'15_Z'!F13/'20_Tabela1'!$N15)</f>
        <v>1.1537103647164431</v>
      </c>
      <c r="G15" s="27">
        <f>IF('20_Tabela1'!$N15=0,"n.a.",100*'15_Z'!G13/'20_Tabela1'!$N15)</f>
        <v>6.407131533503799</v>
      </c>
      <c r="H15" s="27">
        <f>IF('20_Tabela1'!$N15=0,"n.a.",100*'15_Z'!H13/'20_Tabela1'!$N15)</f>
        <v>1.183475607430676</v>
      </c>
      <c r="I15" s="27">
        <f>IF('20_Tabela1'!$N15=0,"n.a.",100*'15_Z'!I13/'20_Tabela1'!$N15)</f>
        <v>2.1619808326220484</v>
      </c>
      <c r="J15" s="27">
        <f>IF('20_Tabela1'!$N15=0,"n.a.",100*'15_Z'!J13/'20_Tabela1'!$N15)</f>
        <v>1.6703769949793628</v>
      </c>
      <c r="K15" s="27">
        <f>IF('20_Tabela1'!$N15=0,"n.a.",100*'15_Z'!K13/'20_Tabela1'!$N15)</f>
        <v>0.22340908094090364</v>
      </c>
      <c r="L15" s="27">
        <f>IF('20_Tabela1'!$N15=0,"n.a.",100*'15_Z'!L13/'20_Tabela1'!$N15)</f>
        <v>5.7863106521997203</v>
      </c>
      <c r="M15" s="27">
        <f>IF('20_Tabela1'!$N15=0,"n.a.",100*'15_Z'!M13/'20_Tabela1'!$N15)</f>
        <v>10.178050459846048</v>
      </c>
      <c r="N15" s="30">
        <f>IF('20_Tabela1'!$N15=0,"n.a.",SUM(B15:M15))</f>
        <v>33.904429061187329</v>
      </c>
    </row>
    <row r="16" spans="1:14" ht="44.1" customHeight="1" x14ac:dyDescent="0.25">
      <c r="A16" s="28" t="str">
        <f>'20_Tabela1'!A16&amp;" (Apub)"</f>
        <v>Administração, defesa, saúde e educação públicas e seguridade social (Apub)</v>
      </c>
      <c r="B16" s="29">
        <f>IF('20_Tabela1'!$N16=0,"n.a.",100*'15_Z'!B14/'20_Tabela1'!$N16)</f>
        <v>1.2282924145291963E-2</v>
      </c>
      <c r="C16" s="29">
        <f>IF('20_Tabela1'!$N16=0,"n.a.",100*'15_Z'!C14/'20_Tabela1'!$N16)</f>
        <v>1.4874442742690576E-3</v>
      </c>
      <c r="D16" s="29">
        <f>IF('20_Tabela1'!$N16=0,"n.a.",100*'15_Z'!D14/'20_Tabela1'!$N16)</f>
        <v>6.8218472320315179E-2</v>
      </c>
      <c r="E16" s="29">
        <f>IF('20_Tabela1'!$N16=0,"n.a.",100*'15_Z'!E14/'20_Tabela1'!$N16)</f>
        <v>4.0658052184413533E-2</v>
      </c>
      <c r="F16" s="29">
        <f>IF('20_Tabela1'!$N16=0,"n.a.",100*'15_Z'!F14/'20_Tabela1'!$N16)</f>
        <v>2.0299710999775341E-2</v>
      </c>
      <c r="G16" s="29">
        <f>IF('20_Tabela1'!$N16=0,"n.a.",100*'15_Z'!G14/'20_Tabela1'!$N16)</f>
        <v>0.11322301021203471</v>
      </c>
      <c r="H16" s="29">
        <f>IF('20_Tabela1'!$N16=0,"n.a.",100*'15_Z'!H14/'20_Tabela1'!$N16)</f>
        <v>2.6774210923764859E-2</v>
      </c>
      <c r="I16" s="29">
        <f>IF('20_Tabela1'!$N16=0,"n.a.",100*'15_Z'!I14/'20_Tabela1'!$N16)</f>
        <v>3.3927641474511223E-2</v>
      </c>
      <c r="J16" s="29">
        <f>IF('20_Tabela1'!$N16=0,"n.a.",100*'15_Z'!J14/'20_Tabela1'!$N16)</f>
        <v>2.6157021702038159E-2</v>
      </c>
      <c r="K16" s="29">
        <f>IF('20_Tabela1'!$N16=0,"n.a.",100*'15_Z'!K14/'20_Tabela1'!$N16)</f>
        <v>3.5787481227852469E-3</v>
      </c>
      <c r="L16" s="29">
        <f>IF('20_Tabela1'!$N16=0,"n.a.",100*'15_Z'!L14/'20_Tabela1'!$N16)</f>
        <v>9.4048982122934055E-2</v>
      </c>
      <c r="M16" s="29">
        <f>IF('20_Tabela1'!$N16=0,"n.a.",100*'15_Z'!M14/'20_Tabela1'!$N16)</f>
        <v>0.16148583273304198</v>
      </c>
      <c r="N16" s="31">
        <f>IF('20_Tabela1'!$N16=0,"n.a.",SUM(B16:M16))</f>
        <v>0.60214205121517528</v>
      </c>
    </row>
    <row r="17" spans="1:14" ht="20.100000000000001" customHeight="1" x14ac:dyDescent="0.25">
      <c r="A17" s="32" t="s">
        <v>240</v>
      </c>
      <c r="B17" s="33">
        <f>IF('20_Tabela1'!$N17=0,"n.a.",100*SUM('15_Z'!B3:B14)/'20_Tabela1'!$N17)</f>
        <v>2.0081382838710438</v>
      </c>
      <c r="C17" s="33">
        <f>IF('20_Tabela1'!$N17=0,"n.a.",100*SUM('15_Z'!C3:C14)/'20_Tabela1'!$N17)</f>
        <v>6.623578322875627E-2</v>
      </c>
      <c r="D17" s="33">
        <f>IF('20_Tabela1'!$N17=0,"n.a.",100*SUM('15_Z'!D3:D14)/'20_Tabela1'!$N17)</f>
        <v>4.7795768684308273</v>
      </c>
      <c r="E17" s="33">
        <f>IF('20_Tabela1'!$N17=0,"n.a.",100*SUM('15_Z'!E3:E14)/'20_Tabela1'!$N17)</f>
        <v>2.4469338176758342</v>
      </c>
      <c r="F17" s="33">
        <f>IF('20_Tabela1'!$N17=0,"n.a.",100*SUM('15_Z'!F3:F14)/'20_Tabela1'!$N17)</f>
        <v>2.3345425196358129</v>
      </c>
      <c r="G17" s="33">
        <f>IF('20_Tabela1'!$N17=0,"n.a.",100*SUM('15_Z'!G3:G14)/'20_Tabela1'!$N17)</f>
        <v>2.7554503171481532</v>
      </c>
      <c r="H17" s="33">
        <f>IF('20_Tabela1'!$N17=0,"n.a.",100*SUM('15_Z'!H3:H14)/'20_Tabela1'!$N17)</f>
        <v>0.91747311400207654</v>
      </c>
      <c r="I17" s="33">
        <f>IF('20_Tabela1'!$N17=0,"n.a.",100*SUM('15_Z'!I3:I14)/'20_Tabela1'!$N17)</f>
        <v>0.66475852213072928</v>
      </c>
      <c r="J17" s="33">
        <f>IF('20_Tabela1'!$N17=0,"n.a.",100*SUM('15_Z'!J3:J14)/'20_Tabela1'!$N17)</f>
        <v>0.59427861554605588</v>
      </c>
      <c r="K17" s="33">
        <f>IF('20_Tabela1'!$N17=0,"n.a.",100*SUM('15_Z'!K3:K14)/'20_Tabela1'!$N17)</f>
        <v>0.18442827350764593</v>
      </c>
      <c r="L17" s="33">
        <f>IF('20_Tabela1'!$N17=0,"n.a.",100*SUM('15_Z'!L3:L14)/'20_Tabela1'!$N17)</f>
        <v>2.3807685747807712</v>
      </c>
      <c r="M17" s="33">
        <f>IF('20_Tabela1'!$N17=0,"n.a.",100*SUM('15_Z'!M3:M14)/'20_Tabela1'!$N17)</f>
        <v>3.6845786049452069</v>
      </c>
      <c r="N17" s="33">
        <f>IF('20_Tabela1'!$N17=0,"n.a.",SUM(B17:M17))</f>
        <v>22.817163294902912</v>
      </c>
    </row>
    <row r="18" spans="1:14" ht="18" customHeight="1" x14ac:dyDescent="0.25">
      <c r="A18" s="28" t="str">
        <f>'20_Tabela1'!A18</f>
        <v>Importações RM</v>
      </c>
      <c r="B18" s="29">
        <f>IF('20_Tabela1'!$N18=0,"n.a.",100*'18_Pagamentos'!B4/'20_Tabela1'!$N18)</f>
        <v>3.9877264141044857</v>
      </c>
      <c r="C18" s="29">
        <f>IF('20_Tabela1'!$N18=0,"n.a.",100*'18_Pagamentos'!C4/'20_Tabela1'!$N18)</f>
        <v>0.12841831006233984</v>
      </c>
      <c r="D18" s="29">
        <f>IF('20_Tabela1'!$N18=0,"n.a.",100*'18_Pagamentos'!D4/'20_Tabela1'!$N18)</f>
        <v>7.5206646867289058</v>
      </c>
      <c r="E18" s="29">
        <f>IF('20_Tabela1'!$N18=0,"n.a.",100*'18_Pagamentos'!E4/'20_Tabela1'!$N18)</f>
        <v>1.398587302622432</v>
      </c>
      <c r="F18" s="29">
        <f>IF('20_Tabela1'!$N18=0,"n.a.",100*'18_Pagamentos'!F4/'20_Tabela1'!$N18)</f>
        <v>3.7322691243881887</v>
      </c>
      <c r="G18" s="29">
        <f>IF('20_Tabela1'!$N18=0,"n.a.",100*'18_Pagamentos'!G4/'20_Tabela1'!$N18)</f>
        <v>3.2201356023600649</v>
      </c>
      <c r="H18" s="29">
        <f>IF('20_Tabela1'!$N18=0,"n.a.",100*'18_Pagamentos'!H4/'20_Tabela1'!$N18)</f>
        <v>1.6815995226248606</v>
      </c>
      <c r="I18" s="29">
        <f>IF('20_Tabela1'!$N18=0,"n.a.",100*'18_Pagamentos'!I4/'20_Tabela1'!$N18)</f>
        <v>0.7552829759958013</v>
      </c>
      <c r="J18" s="29">
        <f>IF('20_Tabela1'!$N18=0,"n.a.",100*'18_Pagamentos'!J4/'20_Tabela1'!$N18)</f>
        <v>0.6544936570686356</v>
      </c>
      <c r="K18" s="29">
        <f>IF('20_Tabela1'!$N18=0,"n.a.",100*'18_Pagamentos'!K4/'20_Tabela1'!$N18)</f>
        <v>0.23127252655747502</v>
      </c>
      <c r="L18" s="29">
        <f>IF('20_Tabela1'!$N18=0,"n.a.",100*'18_Pagamentos'!L4/'20_Tabela1'!$N18)</f>
        <v>3.3073196315143867</v>
      </c>
      <c r="M18" s="29">
        <f>IF('20_Tabela1'!$N18=0,"n.a.",100*'18_Pagamentos'!M4/'20_Tabela1'!$N18)</f>
        <v>4.2211123935597152</v>
      </c>
      <c r="N18" s="31">
        <f>IF('20_Tabela1'!$N18=0,"n.a.",SUM(B18:M18))</f>
        <v>30.838882147587288</v>
      </c>
    </row>
    <row r="19" spans="1:14" ht="18" customHeight="1" x14ac:dyDescent="0.25">
      <c r="A19" s="26" t="str">
        <f>'20_Tabela1'!A19</f>
        <v>Importações RB</v>
      </c>
      <c r="B19" s="27">
        <f>IF('20_Tabela1'!$N19=0,"n.a.",100*'18_Pagamentos'!B3/'20_Tabela1'!$N19)</f>
        <v>3.7195412485458799</v>
      </c>
      <c r="C19" s="27">
        <f>IF('20_Tabela1'!$N19=0,"n.a.",100*'18_Pagamentos'!C3/'20_Tabela1'!$N19)</f>
        <v>0.11296009626001534</v>
      </c>
      <c r="D19" s="27">
        <f>IF('20_Tabela1'!$N19=0,"n.a.",100*'18_Pagamentos'!D3/'20_Tabela1'!$N19)</f>
        <v>7.1884772930633876</v>
      </c>
      <c r="E19" s="27">
        <f>IF('20_Tabela1'!$N19=0,"n.a.",100*'18_Pagamentos'!E3/'20_Tabela1'!$N19)</f>
        <v>1.1754998678798327</v>
      </c>
      <c r="F19" s="27">
        <f>IF('20_Tabela1'!$N19=0,"n.a.",100*'18_Pagamentos'!F3/'20_Tabela1'!$N19)</f>
        <v>3.2772567952879901</v>
      </c>
      <c r="G19" s="27">
        <f>IF('20_Tabela1'!$N19=0,"n.a.",100*'18_Pagamentos'!G3/'20_Tabela1'!$N19)</f>
        <v>3.5244574297668159</v>
      </c>
      <c r="H19" s="27">
        <f>IF('20_Tabela1'!$N19=0,"n.a.",100*'18_Pagamentos'!H3/'20_Tabela1'!$N19)</f>
        <v>1.9262649006872976</v>
      </c>
      <c r="I19" s="27">
        <f>IF('20_Tabela1'!$N19=0,"n.a.",100*'18_Pagamentos'!I3/'20_Tabela1'!$N19)</f>
        <v>0.78134425162509591</v>
      </c>
      <c r="J19" s="27">
        <f>IF('20_Tabela1'!$N19=0,"n.a.",100*'18_Pagamentos'!J3/'20_Tabela1'!$N19)</f>
        <v>0.95206310781232339</v>
      </c>
      <c r="K19" s="27">
        <f>IF('20_Tabela1'!$N19=0,"n.a.",100*'18_Pagamentos'!K3/'20_Tabela1'!$N19)</f>
        <v>0.37056541945830529</v>
      </c>
      <c r="L19" s="27">
        <f>IF('20_Tabela1'!$N19=0,"n.a.",100*'18_Pagamentos'!L3/'20_Tabela1'!$N19)</f>
        <v>3.0203014034199578</v>
      </c>
      <c r="M19" s="27">
        <f>IF('20_Tabela1'!$N19=0,"n.a.",100*'18_Pagamentos'!M3/'20_Tabela1'!$N19)</f>
        <v>4.5754369934637431</v>
      </c>
      <c r="N19" s="30">
        <f>IF('20_Tabela1'!$N19=0,"n.a.",SUM(B19:M19))</f>
        <v>30.624168807270642</v>
      </c>
    </row>
    <row r="20" spans="1:14" ht="18" customHeight="1" x14ac:dyDescent="0.25">
      <c r="A20" s="34" t="str">
        <f>'20_Tabela1'!A20</f>
        <v>Impostos líq. de subsídios</v>
      </c>
      <c r="B20" s="35">
        <f>IF('20_Tabela1'!$N20=0,"n.a.",100*'18_Pagamentos'!B6/'20_Tabela1'!$N20)</f>
        <v>4.0327210800730748</v>
      </c>
      <c r="C20" s="35">
        <f>IF('20_Tabela1'!$N20=0,"n.a.",100*'18_Pagamentos'!C6/'20_Tabela1'!$N20)</f>
        <v>0.12260207876233027</v>
      </c>
      <c r="D20" s="35">
        <f>IF('20_Tabela1'!$N20=0,"n.a.",100*'18_Pagamentos'!D6/'20_Tabela1'!$N20)</f>
        <v>6.9968659101985589</v>
      </c>
      <c r="E20" s="35">
        <f>IF('20_Tabela1'!$N20=0,"n.a.",100*'18_Pagamentos'!E6/'20_Tabela1'!$N20)</f>
        <v>3.5640445320030589</v>
      </c>
      <c r="F20" s="35">
        <f>IF('20_Tabela1'!$N20=0,"n.a.",100*'18_Pagamentos'!F6/'20_Tabela1'!$N20)</f>
        <v>3.5987442118601942</v>
      </c>
      <c r="G20" s="35">
        <f>IF('20_Tabela1'!$N20=0,"n.a.",100*'18_Pagamentos'!G6/'20_Tabela1'!$N20)</f>
        <v>3.318001590927953</v>
      </c>
      <c r="H20" s="35">
        <f>IF('20_Tabela1'!$N20=0,"n.a.",100*'18_Pagamentos'!H6/'20_Tabela1'!$N20)</f>
        <v>1.6953812355982136</v>
      </c>
      <c r="I20" s="35">
        <f>IF('20_Tabela1'!$N20=0,"n.a.",100*'18_Pagamentos'!I6/'20_Tabela1'!$N20)</f>
        <v>0.88281829899771391</v>
      </c>
      <c r="J20" s="35">
        <f>IF('20_Tabela1'!$N20=0,"n.a.",100*'18_Pagamentos'!J6/'20_Tabela1'!$N20)</f>
        <v>0.70650621295195715</v>
      </c>
      <c r="K20" s="35">
        <f>IF('20_Tabela1'!$N20=0,"n.a.",100*'18_Pagamentos'!K6/'20_Tabela1'!$N20)</f>
        <v>0.24223107120235046</v>
      </c>
      <c r="L20" s="35">
        <f>IF('20_Tabela1'!$N20=0,"n.a.",100*'18_Pagamentos'!L6/'20_Tabela1'!$N20)</f>
        <v>3.3283462243042656</v>
      </c>
      <c r="M20" s="35">
        <f>IF('20_Tabela1'!$N20=0,"n.a.",100*'18_Pagamentos'!M6/'20_Tabela1'!$N20)</f>
        <v>4.5989114013178716</v>
      </c>
      <c r="N20" s="36">
        <f>IF('20_Tabela1'!$N20=0,"n.a.",SUM(B20:M20))</f>
        <v>33.087173848197544</v>
      </c>
    </row>
    <row r="21" spans="1:14" ht="20.100000000000001" customHeight="1" x14ac:dyDescent="0.25">
      <c r="A21" s="68" t="s">
        <v>220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</row>
    <row r="22" spans="1:14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8" customHeight="1" x14ac:dyDescent="0.25">
      <c r="A23" s="59" t="s">
        <v>241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</row>
    <row r="24" spans="1:14" ht="18" customHeight="1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</row>
    <row r="25" spans="1:14" ht="20.100000000000001" customHeight="1" x14ac:dyDescent="0.25">
      <c r="A25" s="60" t="s">
        <v>242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</row>
    <row r="26" spans="1:14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</sheetData>
  <mergeCells count="7">
    <mergeCell ref="A23:N24"/>
    <mergeCell ref="A25:N25"/>
    <mergeCell ref="A1:N2"/>
    <mergeCell ref="A3:A4"/>
    <mergeCell ref="B3:M3"/>
    <mergeCell ref="N3:N4"/>
    <mergeCell ref="A21:N21"/>
  </mergeCells>
  <conditionalFormatting sqref="B5:M16">
    <cfRule type="expression" dxfId="0" priority="1">
      <formula>AND(ISNUMBER(B5),B5&lt;&gt;0,B5=MAX($B5:$M5))</formula>
    </cfRule>
  </conditionalFormatting>
  <printOptions horizontalCentered="1"/>
  <pageMargins left="0.25" right="0.25" top="0.3" bottom="0.3" header="0.15" footer="0.15"/>
  <pageSetup paperSize="9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7AD0-7C3E-4EB3-9FE0-540CCFE65E1A}">
  <sheetPr>
    <pageSetUpPr fitToPage="1"/>
  </sheetPr>
  <dimension ref="A1:K42"/>
  <sheetViews>
    <sheetView workbookViewId="0">
      <selection activeCell="G21" sqref="G21"/>
    </sheetView>
  </sheetViews>
  <sheetFormatPr defaultRowHeight="15" x14ac:dyDescent="0.25"/>
  <cols>
    <col min="1" max="1" width="52.7109375" customWidth="1"/>
    <col min="2" max="2" width="44.7109375" customWidth="1"/>
    <col min="3" max="9" width="15.7109375" customWidth="1"/>
    <col min="11" max="11" width="28.7109375" customWidth="1"/>
  </cols>
  <sheetData>
    <row r="1" spans="1:11" ht="18.75" x14ac:dyDescent="0.3">
      <c r="A1" s="38" t="s">
        <v>243</v>
      </c>
    </row>
    <row r="2" spans="1:11" x14ac:dyDescent="0.25">
      <c r="A2" t="s">
        <v>244</v>
      </c>
    </row>
    <row r="3" spans="1:11" x14ac:dyDescent="0.25">
      <c r="A3" t="s">
        <v>245</v>
      </c>
    </row>
    <row r="5" spans="1:11" x14ac:dyDescent="0.25">
      <c r="A5" s="37" t="s">
        <v>246</v>
      </c>
    </row>
    <row r="6" spans="1:11" x14ac:dyDescent="0.25">
      <c r="A6" t="s">
        <v>250</v>
      </c>
      <c r="B6" s="40" t="s">
        <v>189</v>
      </c>
      <c r="C6" t="str">
        <f>INDEX('17_Leontief'!$A$18:$A$29,MATCH($B$6,set!$A$1:$A$12,0))</f>
        <v>01 - Agropecuária</v>
      </c>
      <c r="K6" s="39" t="s">
        <v>247</v>
      </c>
    </row>
    <row r="7" spans="1:11" x14ac:dyDescent="0.25">
      <c r="A7" t="s">
        <v>251</v>
      </c>
      <c r="B7" s="40" t="s">
        <v>248</v>
      </c>
      <c r="K7" s="39" t="s">
        <v>248</v>
      </c>
    </row>
    <row r="8" spans="1:11" x14ac:dyDescent="0.25">
      <c r="A8" t="s">
        <v>252</v>
      </c>
      <c r="B8" s="40">
        <v>100</v>
      </c>
      <c r="C8" t="str">
        <f>IF($B$7=$K$8,"% da demanda final do setor","R$ milhões")</f>
        <v>R$ milhões</v>
      </c>
      <c r="K8" s="39" t="s">
        <v>249</v>
      </c>
    </row>
    <row r="9" spans="1:11" x14ac:dyDescent="0.25">
      <c r="A9" t="s">
        <v>253</v>
      </c>
      <c r="B9" s="45">
        <f>INDEX(y!$A$1:$A$12,MATCH($B$6,set!$A$1:$A$12,0))</f>
        <v>5966.208284132882</v>
      </c>
    </row>
    <row r="10" spans="1:11" x14ac:dyDescent="0.25">
      <c r="A10" t="s">
        <v>254</v>
      </c>
      <c r="B10" s="45">
        <f>IF($B$7=$K$8,$B$9*$B$8/100,$B$8)</f>
        <v>100</v>
      </c>
    </row>
    <row r="11" spans="1:11" x14ac:dyDescent="0.25">
      <c r="A11" t="s">
        <v>255</v>
      </c>
      <c r="B11" s="45">
        <f>$B$9+$B$10</f>
        <v>6066.208284132882</v>
      </c>
    </row>
    <row r="12" spans="1:11" x14ac:dyDescent="0.25">
      <c r="A12" s="41" t="str">
        <f>IF($B$11&lt;0,"ATENÇÃO: o choque deixa a demanda final do setor negativa. O site não aceita este caso.","")</f>
        <v/>
      </c>
    </row>
    <row r="14" spans="1:11" x14ac:dyDescent="0.25">
      <c r="A14" s="37" t="s">
        <v>256</v>
      </c>
    </row>
    <row r="15" spans="1:11" x14ac:dyDescent="0.25">
      <c r="A15" t="s">
        <v>257</v>
      </c>
      <c r="B15" s="46">
        <f>SUM($E$22:$E$33)</f>
        <v>128.02362242018609</v>
      </c>
      <c r="C15" s="42" t="s">
        <v>258</v>
      </c>
    </row>
    <row r="16" spans="1:11" x14ac:dyDescent="0.25">
      <c r="A16" t="s">
        <v>259</v>
      </c>
      <c r="B16" s="46">
        <f>$B$15-$B$10</f>
        <v>28.023622420186086</v>
      </c>
      <c r="C16" s="42" t="s">
        <v>260</v>
      </c>
    </row>
    <row r="17" spans="1:9" x14ac:dyDescent="0.25">
      <c r="A17" t="s">
        <v>261</v>
      </c>
      <c r="B17" s="47">
        <f>IF($B$10=0,"-",$B$15/$B$10)</f>
        <v>1.2802362242018608</v>
      </c>
      <c r="C17" s="42" t="s">
        <v>262</v>
      </c>
    </row>
    <row r="18" spans="1:9" x14ac:dyDescent="0.25">
      <c r="A18" t="s">
        <v>263</v>
      </c>
      <c r="B18" s="46">
        <f>SUM($F$22:$F$33)</f>
        <v>71.83458595782389</v>
      </c>
      <c r="C18" s="42" t="s">
        <v>264</v>
      </c>
    </row>
    <row r="19" spans="1:9" x14ac:dyDescent="0.25">
      <c r="A19" t="s">
        <v>265</v>
      </c>
      <c r="B19" s="46">
        <f>SUM($G$22:$G$33)</f>
        <v>3702.2188695986733</v>
      </c>
      <c r="C19" s="42" t="s">
        <v>266</v>
      </c>
    </row>
    <row r="21" spans="1:9" ht="45" customHeight="1" x14ac:dyDescent="0.25">
      <c r="A21" s="43" t="s">
        <v>160</v>
      </c>
      <c r="B21" s="43" t="s">
        <v>267</v>
      </c>
      <c r="C21" s="43" t="s">
        <v>268</v>
      </c>
      <c r="D21" s="43" t="s">
        <v>269</v>
      </c>
      <c r="E21" s="43" t="s">
        <v>270</v>
      </c>
      <c r="F21" s="43" t="s">
        <v>271</v>
      </c>
      <c r="G21" s="43" t="s">
        <v>272</v>
      </c>
      <c r="H21" s="43" t="s">
        <v>273</v>
      </c>
      <c r="I21" s="43" t="s">
        <v>274</v>
      </c>
    </row>
    <row r="22" spans="1:9" x14ac:dyDescent="0.25">
      <c r="A22" s="50" t="str">
        <f>set!$A$1</f>
        <v>Agro</v>
      </c>
      <c r="B22" s="51" t="str">
        <f>'17_Leontief'!$A$18</f>
        <v>01 - Agropecuária</v>
      </c>
      <c r="C22" s="52">
        <f t="shared" ref="C22:C33" si="0">IF($A22=$B$6,$B$10,0)</f>
        <v>100</v>
      </c>
      <c r="D22" s="53">
        <f>INDEX('17_Leontief'!$B$18:$M$29,1,MATCH($B$6,set!$A$1:$A$12,0))</f>
        <v>1.0455967770195442</v>
      </c>
      <c r="E22" s="52">
        <f t="shared" ref="E22:E33" si="1">D22*$B$10</f>
        <v>104.55967770195443</v>
      </c>
      <c r="F22" s="52">
        <f>E22*v!$A$1/x!$A$1</f>
        <v>60.975890318904383</v>
      </c>
      <c r="G22" s="52">
        <f>E22*e!$A$1/x!$A$1</f>
        <v>3339.299277363255</v>
      </c>
      <c r="H22" s="54">
        <f t="shared" ref="H22:H33" si="2">IF($B$15=0,"",E22/$B$15)</f>
        <v>0.81672175591766427</v>
      </c>
      <c r="I22" s="54">
        <f>E22/x!$A$1</f>
        <v>1.374197233482821E-2</v>
      </c>
    </row>
    <row r="23" spans="1:9" x14ac:dyDescent="0.25">
      <c r="A23" s="50" t="str">
        <f>set!$A$2</f>
        <v>Ind.Extr</v>
      </c>
      <c r="B23" s="51" t="str">
        <f>'17_Leontief'!$A$19</f>
        <v>02 - Indústrias extrativas</v>
      </c>
      <c r="C23" s="52">
        <f t="shared" si="0"/>
        <v>0</v>
      </c>
      <c r="D23" s="53">
        <f>INDEX('17_Leontief'!$B$18:$M$29,2,MATCH($B$6,set!$A$1:$A$12,0))</f>
        <v>1.2127367719096667E-3</v>
      </c>
      <c r="E23" s="52">
        <f t="shared" si="1"/>
        <v>0.12127367719096667</v>
      </c>
      <c r="F23" s="52">
        <f>E23*v!$A$2/x!$A$2</f>
        <v>6.3222229013447179E-2</v>
      </c>
      <c r="G23" s="52">
        <f>E23*e!$A$2/x!$A$2</f>
        <v>0.802678774889519</v>
      </c>
      <c r="H23" s="54">
        <f t="shared" si="2"/>
        <v>9.4727578315925611E-4</v>
      </c>
      <c r="I23" s="54">
        <f>E23/x!$A$2</f>
        <v>5.7663705092637853E-4</v>
      </c>
    </row>
    <row r="24" spans="1:9" x14ac:dyDescent="0.25">
      <c r="A24" s="50" t="str">
        <f>set!$A$3</f>
        <v>Ind.Tran</v>
      </c>
      <c r="B24" s="51" t="str">
        <f>'17_Leontief'!$A$20</f>
        <v>03 - Indústrias de transformação</v>
      </c>
      <c r="C24" s="52">
        <f t="shared" si="0"/>
        <v>0</v>
      </c>
      <c r="D24" s="53">
        <f>INDEX('17_Leontief'!$B$18:$M$29,3,MATCH($B$6,set!$A$1:$A$12,0))</f>
        <v>6.2763718000127616E-2</v>
      </c>
      <c r="E24" s="52">
        <f t="shared" si="1"/>
        <v>6.276371800012762</v>
      </c>
      <c r="F24" s="52">
        <f>E24*v!$A$3/x!$A$3</f>
        <v>1.0736279097596175</v>
      </c>
      <c r="G24" s="52">
        <f>E24*e!$A$3/x!$A$3</f>
        <v>50.306638991652761</v>
      </c>
      <c r="H24" s="54">
        <f t="shared" si="2"/>
        <v>4.9025107096353625E-2</v>
      </c>
      <c r="I24" s="54">
        <f>E24/x!$A$3</f>
        <v>7.7052243090953694E-4</v>
      </c>
    </row>
    <row r="25" spans="1:9" ht="30" x14ac:dyDescent="0.25">
      <c r="A25" s="50" t="str">
        <f>set!$A$4</f>
        <v>SIUP</v>
      </c>
      <c r="B25" s="51" t="str">
        <f>'17_Leontief'!$A$21</f>
        <v>04 - Eletricidade e gás, água, esgoto e gestão de resíduos</v>
      </c>
      <c r="C25" s="52">
        <f t="shared" si="0"/>
        <v>0</v>
      </c>
      <c r="D25" s="53">
        <f>INDEX('17_Leontief'!$B$18:$M$29,4,MATCH($B$6,set!$A$1:$A$12,0))</f>
        <v>3.2947412776612381E-2</v>
      </c>
      <c r="E25" s="52">
        <f t="shared" si="1"/>
        <v>3.2947412776612381</v>
      </c>
      <c r="F25" s="52">
        <f>E25*v!$A$4/x!$A$4</f>
        <v>1.2762773468254511</v>
      </c>
      <c r="G25" s="52">
        <f>E25*e!$A$4/x!$A$4</f>
        <v>3.4775326046472856</v>
      </c>
      <c r="H25" s="54">
        <f t="shared" si="2"/>
        <v>2.5735416756507437E-2</v>
      </c>
      <c r="I25" s="54">
        <f>E25/x!$A$4</f>
        <v>8.0517078134922091E-4</v>
      </c>
    </row>
    <row r="26" spans="1:9" x14ac:dyDescent="0.25">
      <c r="A26" s="50" t="str">
        <f>set!$A$5</f>
        <v>Cons</v>
      </c>
      <c r="B26" s="51" t="str">
        <f>'17_Leontief'!$A$22</f>
        <v>05 - Construção</v>
      </c>
      <c r="C26" s="52">
        <f t="shared" si="0"/>
        <v>0</v>
      </c>
      <c r="D26" s="53">
        <f>INDEX('17_Leontief'!$B$18:$M$29,5,MATCH($B$6,set!$A$1:$A$12,0))</f>
        <v>1.5677406293425136E-3</v>
      </c>
      <c r="E26" s="52">
        <f t="shared" si="1"/>
        <v>0.15677406293425136</v>
      </c>
      <c r="F26" s="52">
        <f>E26*v!$A$5/x!$A$5</f>
        <v>6.7910310223970635E-2</v>
      </c>
      <c r="G26" s="52">
        <f>E26*e!$A$5/x!$A$5</f>
        <v>2.5821842113721316</v>
      </c>
      <c r="H26" s="54">
        <f t="shared" si="2"/>
        <v>1.2245713718340473E-3</v>
      </c>
      <c r="I26" s="54">
        <f>E26/x!$A$5</f>
        <v>2.747004480183119E-5</v>
      </c>
    </row>
    <row r="27" spans="1:9" x14ac:dyDescent="0.25">
      <c r="A27" s="50" t="str">
        <f>set!$A$6</f>
        <v>Com</v>
      </c>
      <c r="B27" s="51" t="str">
        <f>'17_Leontief'!$A$23</f>
        <v>06 - Comércio</v>
      </c>
      <c r="C27" s="52">
        <f t="shared" si="0"/>
        <v>0</v>
      </c>
      <c r="D27" s="53">
        <f>INDEX('17_Leontief'!$B$18:$M$29,6,MATCH($B$6,set!$A$1:$A$12,0))</f>
        <v>8.2673705418075075E-2</v>
      </c>
      <c r="E27" s="52">
        <f t="shared" si="1"/>
        <v>8.267370541807507</v>
      </c>
      <c r="F27" s="52">
        <f>E27*v!$A$6/x!$A$6</f>
        <v>5.284770513116559</v>
      </c>
      <c r="G27" s="52">
        <f>E27*e!$A$6/x!$A$6</f>
        <v>215.15711790179506</v>
      </c>
      <c r="H27" s="54">
        <f t="shared" si="2"/>
        <v>6.4576914678083283E-2</v>
      </c>
      <c r="I27" s="54">
        <f>E27/x!$A$6</f>
        <v>8.3072246294129369E-4</v>
      </c>
    </row>
    <row r="28" spans="1:9" x14ac:dyDescent="0.25">
      <c r="A28" s="50" t="str">
        <f>set!$A$7</f>
        <v>Transp</v>
      </c>
      <c r="B28" s="51" t="str">
        <f>'17_Leontief'!$A$24</f>
        <v>07 - Transporte, armazenagem e correio</v>
      </c>
      <c r="C28" s="52">
        <f t="shared" si="0"/>
        <v>0</v>
      </c>
      <c r="D28" s="53">
        <f>INDEX('17_Leontief'!$B$18:$M$29,7,MATCH($B$6,set!$A$1:$A$12,0))</f>
        <v>2.1718980222685379E-2</v>
      </c>
      <c r="E28" s="52">
        <f t="shared" si="1"/>
        <v>2.1718980222685378</v>
      </c>
      <c r="F28" s="52">
        <f>E28*v!$A$7/x!$A$7</f>
        <v>0.9380216093207816</v>
      </c>
      <c r="G28" s="52">
        <f>E28*e!$A$7/x!$A$7</f>
        <v>38.468851421423913</v>
      </c>
      <c r="H28" s="54">
        <f t="shared" si="2"/>
        <v>1.6964822438316544E-2</v>
      </c>
      <c r="I28" s="54">
        <f>E28/x!$A$7</f>
        <v>8.1848620045582804E-4</v>
      </c>
    </row>
    <row r="29" spans="1:9" x14ac:dyDescent="0.25">
      <c r="A29" s="50" t="str">
        <f>set!$A$8</f>
        <v>Info</v>
      </c>
      <c r="B29" s="51" t="str">
        <f>'17_Leontief'!$A$25</f>
        <v>08 - Informação e comunicação</v>
      </c>
      <c r="C29" s="52">
        <f t="shared" si="0"/>
        <v>0</v>
      </c>
      <c r="D29" s="53">
        <f>INDEX('17_Leontief'!$B$18:$M$29,8,MATCH($B$6,set!$A$1:$A$12,0))</f>
        <v>2.3466121672209178E-3</v>
      </c>
      <c r="E29" s="52">
        <f t="shared" si="1"/>
        <v>0.23466121672209178</v>
      </c>
      <c r="F29" s="52">
        <f>E29*v!$A$8/x!$A$8</f>
        <v>0.10103854706538692</v>
      </c>
      <c r="G29" s="52">
        <f>E29*e!$A$8/x!$A$8</f>
        <v>5.6072593420411367</v>
      </c>
      <c r="H29" s="54">
        <f t="shared" si="2"/>
        <v>1.8329524839713616E-3</v>
      </c>
      <c r="I29" s="54">
        <f>E29/x!$A$8</f>
        <v>1.5772881412211355E-4</v>
      </c>
    </row>
    <row r="30" spans="1:9" ht="30" x14ac:dyDescent="0.25">
      <c r="A30" s="50" t="str">
        <f>set!$A$9</f>
        <v>Finan</v>
      </c>
      <c r="B30" s="51" t="str">
        <f>'17_Leontief'!$A$26</f>
        <v>09 - Atividades financeiras, de seguros e serviços relacionados</v>
      </c>
      <c r="C30" s="52">
        <f t="shared" si="0"/>
        <v>0</v>
      </c>
      <c r="D30" s="53">
        <f>INDEX('17_Leontief'!$B$18:$M$29,9,MATCH($B$6,set!$A$1:$A$12,0))</f>
        <v>9.486389935828338E-3</v>
      </c>
      <c r="E30" s="52">
        <f t="shared" si="1"/>
        <v>0.94863899358283377</v>
      </c>
      <c r="F30" s="52">
        <f>E30*v!$A$9/x!$A$9</f>
        <v>0.61150183791589952</v>
      </c>
      <c r="G30" s="52">
        <f>E30*e!$A$9/x!$A$9</f>
        <v>13.639765891144775</v>
      </c>
      <c r="H30" s="54">
        <f t="shared" si="2"/>
        <v>7.4098746438318042E-3</v>
      </c>
      <c r="I30" s="54">
        <f>E30/x!$A$9</f>
        <v>4.0398560232043288E-4</v>
      </c>
    </row>
    <row r="31" spans="1:9" x14ac:dyDescent="0.25">
      <c r="A31" s="50" t="str">
        <f>set!$A$10</f>
        <v>Imob</v>
      </c>
      <c r="B31" s="51" t="str">
        <f>'17_Leontief'!$A$27</f>
        <v>10 - Atividades imobiliárias</v>
      </c>
      <c r="C31" s="52">
        <f t="shared" si="0"/>
        <v>0</v>
      </c>
      <c r="D31" s="53">
        <f>INDEX('17_Leontief'!$B$18:$M$29,10,MATCH($B$6,set!$A$1:$A$12,0))</f>
        <v>3.8648642211493258E-3</v>
      </c>
      <c r="E31" s="52">
        <f t="shared" si="1"/>
        <v>0.38648642211493256</v>
      </c>
      <c r="F31" s="52">
        <f>E31*v!$A$10/x!$A$10</f>
        <v>0.35901573560891237</v>
      </c>
      <c r="G31" s="52">
        <f>E31*e!$A$10/x!$A$10</f>
        <v>1.2171912842298964</v>
      </c>
      <c r="H31" s="54">
        <f t="shared" si="2"/>
        <v>3.0188680402000049E-3</v>
      </c>
      <c r="I31" s="54">
        <f>E31/x!$A$10</f>
        <v>9.5932478265281886E-5</v>
      </c>
    </row>
    <row r="32" spans="1:9" x14ac:dyDescent="0.25">
      <c r="A32" s="50" t="str">
        <f>set!$A$11</f>
        <v>Otrs.Serv</v>
      </c>
      <c r="B32" s="51" t="str">
        <f>'17_Leontief'!$A$28</f>
        <v>11 - Outras atividades de serviços</v>
      </c>
      <c r="C32" s="52">
        <f t="shared" si="0"/>
        <v>0</v>
      </c>
      <c r="D32" s="53">
        <f>INDEX('17_Leontief'!$B$18:$M$29,11,MATCH($B$6,set!$A$1:$A$12,0))</f>
        <v>1.5264459205132138E-2</v>
      </c>
      <c r="E32" s="52">
        <f t="shared" si="1"/>
        <v>1.5264459205132137</v>
      </c>
      <c r="F32" s="52">
        <f>E32*v!$A$11/x!$A$11</f>
        <v>1.0232330749746259</v>
      </c>
      <c r="G32" s="52">
        <f>E32*e!$A$11/x!$A$11</f>
        <v>30.69214901817303</v>
      </c>
      <c r="H32" s="54">
        <f t="shared" si="2"/>
        <v>1.1923158333258752E-2</v>
      </c>
      <c r="I32" s="54">
        <f>E32/x!$A$11</f>
        <v>1.5985494280298452E-4</v>
      </c>
    </row>
    <row r="33" spans="1:9" ht="30" x14ac:dyDescent="0.25">
      <c r="A33" s="50" t="str">
        <f>set!$A$12</f>
        <v>Adm</v>
      </c>
      <c r="B33" s="51" t="str">
        <f>'17_Leontief'!$A$29</f>
        <v>12 - Administração, defesa, saúde e educação públicas e seguridade social</v>
      </c>
      <c r="C33" s="52">
        <f t="shared" si="0"/>
        <v>0</v>
      </c>
      <c r="D33" s="53">
        <f>INDEX('17_Leontief'!$B$18:$M$29,12,MATCH($B$6,set!$A$1:$A$12,0))</f>
        <v>7.9282783423347361E-4</v>
      </c>
      <c r="E33" s="52">
        <f t="shared" si="1"/>
        <v>7.9282783423347367E-2</v>
      </c>
      <c r="F33" s="52">
        <f>E33*v!$A$12/x!$A$12</f>
        <v>6.007652509485948E-2</v>
      </c>
      <c r="G33" s="52">
        <f>E33*e!$A$12/x!$A$12</f>
        <v>0.96822279404852729</v>
      </c>
      <c r="H33" s="54">
        <f t="shared" si="2"/>
        <v>6.1928245681983204E-4</v>
      </c>
      <c r="I33" s="54">
        <f>E33/x!$A$12</f>
        <v>4.0342616418688641E-6</v>
      </c>
    </row>
    <row r="34" spans="1:9" x14ac:dyDescent="0.25">
      <c r="A34" s="44" t="s">
        <v>90</v>
      </c>
      <c r="B34" s="44"/>
      <c r="C34" s="48">
        <f>SUM(C22:C33)</f>
        <v>100</v>
      </c>
      <c r="D34" s="44"/>
      <c r="E34" s="48">
        <f>SUM(E22:E33)</f>
        <v>128.02362242018609</v>
      </c>
      <c r="F34" s="48">
        <f>SUM(F22:F33)</f>
        <v>71.83458595782389</v>
      </c>
      <c r="G34" s="48">
        <f>SUM(G22:G33)</f>
        <v>3702.2188695986733</v>
      </c>
      <c r="H34" s="49">
        <f>SUM(H22:H33)</f>
        <v>1.0000000000000002</v>
      </c>
      <c r="I34" s="49"/>
    </row>
    <row r="36" spans="1:9" x14ac:dyDescent="0.25">
      <c r="A36" s="37" t="s">
        <v>275</v>
      </c>
    </row>
    <row r="37" spans="1:9" x14ac:dyDescent="0.25">
      <c r="A37" t="s">
        <v>276</v>
      </c>
    </row>
    <row r="38" spans="1:9" x14ac:dyDescent="0.25">
      <c r="A38" t="s">
        <v>277</v>
      </c>
    </row>
    <row r="39" spans="1:9" x14ac:dyDescent="0.25">
      <c r="A39" t="s">
        <v>278</v>
      </c>
    </row>
    <row r="40" spans="1:9" x14ac:dyDescent="0.25">
      <c r="A40" t="s">
        <v>279</v>
      </c>
    </row>
    <row r="41" spans="1:9" x14ac:dyDescent="0.25">
      <c r="A41" t="s">
        <v>280</v>
      </c>
    </row>
    <row r="42" spans="1:9" x14ac:dyDescent="0.25">
      <c r="A42" t="s">
        <v>281</v>
      </c>
    </row>
  </sheetData>
  <dataValidations count="1">
    <dataValidation type="list" allowBlank="1" showInputMessage="1" showErrorMessage="1" sqref="B7" xr:uid="{D8EEF63C-0409-4F13-9427-94F5B24835EC}">
      <formula1>$K$7:$K$8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0" verticalDpi="0" copies="11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8BFD10-3F3C-478F-BADC-F13E8E51B67C}">
          <x14:formula1>
            <xm:f>set!$A$1:$A$12</xm:f>
          </x14:formula1>
          <xm:sqref>B6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31</vt:i4>
      </vt:variant>
      <vt:variant>
        <vt:lpstr>Intervalos Nomeados</vt:lpstr>
      </vt:variant>
      <vt:variant>
        <vt:i4>3</vt:i4>
      </vt:variant>
    </vt:vector>
  </HeadingPairs>
  <TitlesOfParts>
    <vt:vector size="34" baseType="lpstr">
      <vt:lpstr>00_Leia-me</vt:lpstr>
      <vt:lpstr>01_Recursos</vt:lpstr>
      <vt:lpstr>02_Usos</vt:lpstr>
      <vt:lpstr>03_VA</vt:lpstr>
      <vt:lpstr>04_Conferencias</vt:lpstr>
      <vt:lpstr>05_ALFA</vt:lpstr>
      <vt:lpstr>06_M_comercio</vt:lpstr>
      <vt:lpstr>07_M_transporte</vt:lpstr>
      <vt:lpstr>08_M_impostos</vt:lpstr>
      <vt:lpstr>09_M_importacoes</vt:lpstr>
      <vt:lpstr>10_Usos_basicos</vt:lpstr>
      <vt:lpstr>11_D</vt:lpstr>
      <vt:lpstr>12_X</vt:lpstr>
      <vt:lpstr>13_Bn</vt:lpstr>
      <vt:lpstr>14_A</vt:lpstr>
      <vt:lpstr>15_Z</vt:lpstr>
      <vt:lpstr>16_Y</vt:lpstr>
      <vt:lpstr>17_Leontief</vt:lpstr>
      <vt:lpstr>18_Pagamentos</vt:lpstr>
      <vt:lpstr>19_Diagnostico</vt:lpstr>
      <vt:lpstr>Z</vt:lpstr>
      <vt:lpstr>y</vt:lpstr>
      <vt:lpstr>x</vt:lpstr>
      <vt:lpstr>v</vt:lpstr>
      <vt:lpstr>e</vt:lpstr>
      <vt:lpstr>c</vt:lpstr>
      <vt:lpstr>sp</vt:lpstr>
      <vt:lpstr>set</vt:lpstr>
      <vt:lpstr>20_Tabela1</vt:lpstr>
      <vt:lpstr>21_Tabela2</vt:lpstr>
      <vt:lpstr>22_Simulacao</vt:lpstr>
      <vt:lpstr>'20_Tabela1'!Area_de_impressao</vt:lpstr>
      <vt:lpstr>'21_Tabela2'!Area_de_impressao</vt:lpstr>
      <vt:lpstr>'22_Simulacao'!Area_de_impressao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caiom</dc:creator>
  <cp:lastModifiedBy>Caio Lopes</cp:lastModifiedBy>
  <dcterms:created xsi:type="dcterms:W3CDTF">2026-07-28T20:21:49Z</dcterms:created>
  <dcterms:modified xsi:type="dcterms:W3CDTF">2026-10-12T21:09:49Z</dcterms:modified>
</cp:coreProperties>
</file>